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Projects\SPP\trunk\DotNet_Practice\Proposals\SKODA\"/>
    </mc:Choice>
  </mc:AlternateContent>
  <xr:revisionPtr revIDLastSave="0" documentId="13_ncr:1_{6668CBE3-80C4-4D2F-ABCD-BAE3C8FCFE72}" xr6:coauthVersionLast="47" xr6:coauthVersionMax="47" xr10:uidLastSave="{00000000-0000-0000-0000-000000000000}"/>
  <bookViews>
    <workbookView xWindow="-108" yWindow="-108" windowWidth="23256" windowHeight="12456" xr2:uid="{2161DC53-BF5F-4D4F-9B63-69851FAE8F1D}"/>
  </bookViews>
  <sheets>
    <sheet name="Requirements + Statistics" sheetId="7" r:id="rId1"/>
    <sheet name="Outline Concept- Other than SRM" sheetId="6" r:id="rId2"/>
    <sheet name="Outline Concept- SRM" sheetId="11" r:id="rId3"/>
    <sheet name="AMC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7" l="1"/>
  <c r="H74" i="7" s="1"/>
  <c r="F73" i="7"/>
  <c r="F74" i="7" s="1"/>
  <c r="G74" i="7"/>
  <c r="I73" i="7"/>
  <c r="I74" i="7" s="1"/>
  <c r="J11" i="12"/>
  <c r="I10" i="12"/>
  <c r="C10" i="12"/>
  <c r="C8" i="12"/>
  <c r="C9" i="12" s="1"/>
  <c r="C5" i="12"/>
  <c r="C6" i="12" s="1"/>
  <c r="E73" i="7"/>
  <c r="E74" i="7" s="1"/>
  <c r="A9" i="12"/>
  <c r="D4" i="12"/>
  <c r="D3" i="12"/>
  <c r="D5" i="12" s="1"/>
  <c r="F64" i="7" l="1"/>
  <c r="F65" i="7" s="1"/>
  <c r="J73" i="7"/>
  <c r="J74" i="7" s="1"/>
  <c r="D6" i="12"/>
  <c r="D8" i="12"/>
  <c r="D9" i="12" s="1"/>
  <c r="E4" i="12"/>
  <c r="F4" i="12" s="1"/>
  <c r="G4" i="12" s="1"/>
  <c r="H4" i="12" s="1"/>
  <c r="E3" i="12"/>
  <c r="F3" i="12" l="1"/>
  <c r="E5" i="12"/>
  <c r="I4" i="12"/>
  <c r="E6" i="12" l="1"/>
  <c r="E8" i="12"/>
  <c r="E9" i="12" s="1"/>
  <c r="G3" i="12"/>
  <c r="F5" i="12"/>
  <c r="F6" i="12" l="1"/>
  <c r="F8" i="12"/>
  <c r="F9" i="12" s="1"/>
  <c r="H3" i="12"/>
  <c r="G5" i="12"/>
  <c r="G6" i="12" l="1"/>
  <c r="G8" i="12"/>
  <c r="G9" i="12" s="1"/>
  <c r="H5" i="12"/>
  <c r="I3" i="12"/>
  <c r="I5" i="12" s="1"/>
  <c r="H8" i="12" l="1"/>
  <c r="H9" i="12" s="1"/>
  <c r="H6" i="12"/>
  <c r="I6" i="12"/>
  <c r="I8" i="12"/>
  <c r="I9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Sachin Phalke</author>
  </authors>
  <commentList>
    <comment ref="F73" authorId="0" shapeId="0" xr:uid="{D650E58C-9EA4-4664-858B-EF5183A65D58}">
      <text>
        <r>
          <rPr>
            <b/>
            <sz val="9"/>
            <color indexed="81"/>
            <rFont val="Tahoma"/>
            <family val="2"/>
          </rPr>
          <t xml:space="preserve">(if the optional 5 years are at the same commercial rates as the initial 5 years).
Note: </t>
        </r>
        <r>
          <rPr>
            <sz val="9"/>
            <color indexed="81"/>
            <rFont val="Tahoma"/>
            <family val="2"/>
          </rPr>
          <t>The ₹26,207,530 value assumes:</t>
        </r>
        <r>
          <rPr>
            <b/>
            <sz val="9"/>
            <color indexed="81"/>
            <rFont val="Tahoma"/>
            <family val="2"/>
          </rPr>
          <t xml:space="preserve">
-- </t>
        </r>
        <r>
          <rPr>
            <sz val="9"/>
            <color indexed="81"/>
            <rFont val="Tahoma"/>
            <family val="2"/>
          </rPr>
          <t xml:space="preserve">The optional 5-year extension is priced on the same basis as the initial 5 years.
-- No escalation, inflation adjustment, or commercial renegotiation is applied during the extension period.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If the optional period is intended to start after Year 5 with further annual escalations (instead of repeating the same 5-year pricing), let me know the escalation percentage (e.g., 10% p.a.), and I'll calculate that scenario as well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H73" authorId="0" shapeId="0" xr:uid="{6D1DF91E-A2C5-44AB-AC69-8E1FA7407B28}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The above rate shall remain applicable during the optional 5-year extension unless revised by mutual agreement between both parties.</t>
        </r>
      </text>
    </comment>
  </commentList>
</comments>
</file>

<file path=xl/sharedStrings.xml><?xml version="1.0" encoding="utf-8"?>
<sst xmlns="http://schemas.openxmlformats.org/spreadsheetml/2006/main" count="339" uniqueCount="200">
  <si>
    <t>Topic :</t>
  </si>
  <si>
    <t>RFQ Package for Procurement Process Digitalisation with AI - Production Material and SRM</t>
  </si>
  <si>
    <t>Background &amp; Introduction</t>
  </si>
  <si>
    <t xml:space="preserve">To develop a platform which can : </t>
  </si>
  <si>
    <t>-</t>
  </si>
  <si>
    <t>Track Part Price movement from Nomination to End of Project</t>
  </si>
  <si>
    <t>Track Investment Price movement from Nomination to End of Project</t>
  </si>
  <si>
    <t>Track Tool Development Status</t>
  </si>
  <si>
    <t>Provision of handling Technical Change Management</t>
  </si>
  <si>
    <t>Reply to any User queries related to Historical Price movement, Benchmarking etc.</t>
  </si>
  <si>
    <r>
      <t xml:space="preserve">Forecasting about Commodity and Forex Risk,  Yearly savings etc. </t>
    </r>
    <r>
      <rPr>
        <i/>
        <sz val="10"/>
        <color theme="1"/>
        <rFont val="Arial"/>
        <family val="2"/>
      </rPr>
      <t>Also, provide the potential for Cost Savings especially in the area of Steel</t>
    </r>
  </si>
  <si>
    <t>Provide option of creating flexible reports</t>
  </si>
  <si>
    <t>Provide option of creating various Powerpoint Presentations based on the pre-defined formats.</t>
  </si>
  <si>
    <t>Provide option of creating various Powerpoint Presentations using AI ( for any new requirements )</t>
  </si>
  <si>
    <t>Be accessible through Official Laptop, iPad as well as Mobile ( especially for AI Chat Bot )</t>
  </si>
  <si>
    <t>Present Scenario :</t>
  </si>
  <si>
    <t>Historical Price Details, updation of Tool Tracking Status as well as Management Reports / Presentation is done manually after gathering the details from various sources</t>
  </si>
  <si>
    <t>Too much dependency on individuals</t>
  </si>
  <si>
    <t>Risk of data loss if Individual leaves</t>
  </si>
  <si>
    <t>Proposed Scenario :</t>
  </si>
  <si>
    <t>Utilization of appropriate technical solutions, including AI, to address current challenges and achieve the desired objectives.</t>
  </si>
  <si>
    <t>Possibility of maintaining the data in a digital form centrally</t>
  </si>
  <si>
    <t>The stored data can be used for getting the answers for various queries related to Part Price, Material Cost at Car Level, Investment Cost, Historical Prices etc.</t>
  </si>
  <si>
    <t>This solution can also provide the output in the defined as well as free flow formats including presentation, reports etc.</t>
  </si>
  <si>
    <t>Requirements</t>
  </si>
  <si>
    <t>Preferred Solution should be On-prem, however there should be possibility of data transfer if needed, without any additional cost.</t>
  </si>
  <si>
    <t>Data security and encryption as per VW Group requirements</t>
  </si>
  <si>
    <t>Possibility of upgrading to newer Generation of Software Version / AI Version once a year without any additional cost</t>
  </si>
  <si>
    <t>Possibility of integrating with email server for email communication.</t>
  </si>
  <si>
    <t>Maximum Number of Internal Users - Procurement : 100 Buyers, 8 Heads, Finance / Controlling : 08</t>
  </si>
  <si>
    <t>AI BOT / Software should respond &lt; 30 seconds on full load condition</t>
  </si>
  <si>
    <t>AI BOT / Software Language - English</t>
  </si>
  <si>
    <t>Historical Data would be uploaded for the pre-fill</t>
  </si>
  <si>
    <t>Possibility of uploading the other project details for Benchmarking Purpose.</t>
  </si>
  <si>
    <t xml:space="preserve">SSO / PKI based authentication </t>
  </si>
  <si>
    <t xml:space="preserve">Separate environments - Dev/Test/Prod </t>
  </si>
  <si>
    <t>Email integration for notifications &amp; updates</t>
  </si>
  <si>
    <t>Should have operational dashboard</t>
  </si>
  <si>
    <t>Possibility of accessing AI Chat Bot through official Mobile.</t>
  </si>
  <si>
    <t xml:space="preserve">Role Management - Buyer ( Read, Write ), Project Manager ( Read, Write ) , Supplier Readiness Management ( Read, Write ), Approver, Finance ( Read ), Admin </t>
  </si>
  <si>
    <t>Training of all Users post UAT</t>
  </si>
  <si>
    <t>Provision of Manual, Video Tutorial and FAQ before system Go-Live</t>
  </si>
  <si>
    <t>Provision of Adhoc Training, based on our requests.</t>
  </si>
  <si>
    <t>Expected Go-Live : Within 4 months of Order Confirmation including UAT; System Stabilization within 1 Month of Go-Live</t>
  </si>
  <si>
    <t>BRD &amp; Development : Preperation and taking the approval would be under Service Providers responsibility</t>
  </si>
  <si>
    <t>Development : Software development preferably should be done in a Agile Method to avoid re-wrok and unnecessary cost.</t>
  </si>
  <si>
    <t>Data Privacy, Security &amp; Compliance</t>
  </si>
  <si>
    <t>Refer Annexure A of the attached "Information Security Guidelines for Suppliers"</t>
  </si>
  <si>
    <t>Support &amp; Maintenance</t>
  </si>
  <si>
    <t>Post‑go‑live support - 10 hours x 5 Days in a week</t>
  </si>
  <si>
    <t>SLA details - Uptime 99.9%</t>
  </si>
  <si>
    <t>Incident and escalation management - Basic : Maximum 1 Hour, Critical : Maximum 4 Hours</t>
  </si>
  <si>
    <t>Model maintenance and updates</t>
  </si>
  <si>
    <t>Techno - Commercials Required for :</t>
  </si>
  <si>
    <t>Kindly provide your Techno- Commercial Offer considering below :</t>
  </si>
  <si>
    <t>5 Years Contract Term with 6 months notice</t>
  </si>
  <si>
    <t>10 Years Contract Term with 6 months notice</t>
  </si>
  <si>
    <t xml:space="preserve"> Cost with AI Model</t>
  </si>
  <si>
    <t>Module</t>
  </si>
  <si>
    <t xml:space="preserve">Development / Implementation Cost </t>
  </si>
  <si>
    <t>Annual Maintenance as well as Support Cost post implementation</t>
  </si>
  <si>
    <t xml:space="preserve">Hourly  Rates for Change Requests Efforts Post Successful Implementation </t>
  </si>
  <si>
    <t xml:space="preserve">Daily  Rates for Change Requests Efforts Post Successful Implementation </t>
  </si>
  <si>
    <t>Timelines including BRD</t>
  </si>
  <si>
    <t>One Time</t>
  </si>
  <si>
    <t>5 Years</t>
  </si>
  <si>
    <t>5 + 5 Optional Years</t>
  </si>
  <si>
    <t>Module 1</t>
  </si>
  <si>
    <t>Outline Concept- Other than SRM ( except Handling of Technical Change Evaluation )</t>
  </si>
  <si>
    <t>Surajit</t>
  </si>
  <si>
    <t>Module 2</t>
  </si>
  <si>
    <t xml:space="preserve">Handling of Technical Change Evaluation  (Outline Concept- Other than SRM) </t>
  </si>
  <si>
    <t>Module 3</t>
  </si>
  <si>
    <t>Outline Concept- SRM</t>
  </si>
  <si>
    <t>USD</t>
  </si>
  <si>
    <t>Total</t>
  </si>
  <si>
    <t xml:space="preserve"> Cost with SAVWIPL AI Model</t>
  </si>
  <si>
    <t>Timelines incl. BRD</t>
  </si>
  <si>
    <t>Step No.</t>
  </si>
  <si>
    <t>Steps</t>
  </si>
  <si>
    <t>Steps Details</t>
  </si>
  <si>
    <t>Responsible</t>
  </si>
  <si>
    <t>System Used</t>
  </si>
  <si>
    <t xml:space="preserve">Frequency </t>
  </si>
  <si>
    <t>Remarks</t>
  </si>
  <si>
    <t>Creation of Masters - Project &amp; Exchange Rates</t>
  </si>
  <si>
    <r>
      <rPr>
        <b/>
        <sz val="10"/>
        <color theme="1"/>
        <rFont val="Arial"/>
        <family val="2"/>
      </rPr>
      <t>For New Projects ( Business Awards through Sourcing System ):</t>
    </r>
    <r>
      <rPr>
        <sz val="10"/>
        <color theme="1"/>
        <rFont val="Arial"/>
        <family val="2"/>
      </rPr>
      <t xml:space="preserve">
Creation of Masters - Project &amp; Exchange Rates ( especially for the Currencies like Euro, USD, CNY )
</t>
    </r>
    <r>
      <rPr>
        <b/>
        <sz val="10"/>
        <color theme="1"/>
        <rFont val="Arial"/>
        <family val="2"/>
      </rPr>
      <t>For Parts getting introduced through Model Year or Technical Changes :</t>
    </r>
    <r>
      <rPr>
        <sz val="10"/>
        <color theme="1"/>
        <rFont val="Arial"/>
        <family val="2"/>
      </rPr>
      <t xml:space="preserve">
Manual creation / Mass upload of parts with Basic Information - Part Number, Part Name, Supplier</t>
    </r>
  </si>
  <si>
    <t>BN - Project Management</t>
  </si>
  <si>
    <t>Email / AIS*</t>
  </si>
  <si>
    <t>As needed</t>
  </si>
  <si>
    <t xml:space="preserve">- Project details consists of Project Code, Name, various milestones
- There are separate exchange rates for each project (Sourcing Number starts with F IN ..) and each Sourcing which starts with G IN .. ) </t>
  </si>
  <si>
    <t>Download Sourcing Report (Excel)</t>
  </si>
  <si>
    <t>Defined User will download the Sourcing Report in Excel Format for the Decided Sourcing at defined intervals</t>
  </si>
  <si>
    <t xml:space="preserve">Central Coordinator - FS </t>
  </si>
  <si>
    <t>Report</t>
  </si>
  <si>
    <t>Monthly</t>
  </si>
  <si>
    <t>Upload/email Sourcing Report</t>
  </si>
  <si>
    <t>Above Sourcing Report for the Decided Sourcing would be uploaded / sent through email to the AIS*</t>
  </si>
  <si>
    <t>Manual / Email</t>
  </si>
  <si>
    <t>Sourcing Report template would be provided by SAVWIPL</t>
  </si>
  <si>
    <t>AIS* reads file &amp; updates Database</t>
  </si>
  <si>
    <t>AIS* will read that file ( Sourcing Report ) and create / update the Database</t>
  </si>
  <si>
    <t>AIS*</t>
  </si>
  <si>
    <t>Notification to users for updating the necessary details</t>
  </si>
  <si>
    <r>
      <t xml:space="preserve">Once Database is updated, it will send the email notification to the respective Users for updating the : 
1) Quantity per Car
2) Cost Break Down   
3) Input Weights incase Steel </t>
    </r>
    <r>
      <rPr>
        <i/>
        <sz val="10"/>
        <color theme="1"/>
        <rFont val="Arial"/>
        <family val="2"/>
      </rPr>
      <t>( Grade of Steel, Supplier, Gross as well as Net both )</t>
    </r>
    <r>
      <rPr>
        <sz val="10"/>
        <color theme="1"/>
        <rFont val="Arial"/>
        <family val="2"/>
      </rPr>
      <t>, Aluminum (</t>
    </r>
    <r>
      <rPr>
        <i/>
        <sz val="10"/>
        <color theme="1"/>
        <rFont val="Arial"/>
        <family val="2"/>
      </rPr>
      <t xml:space="preserve"> Gross as well as Net both )</t>
    </r>
    <r>
      <rPr>
        <sz val="10"/>
        <color theme="1"/>
        <rFont val="Arial"/>
        <family val="2"/>
      </rPr>
      <t>, Copper, Lead, Precious Material
4) Import Content Value and Exchange Rate Considered
5) Import Content Details including Origin of Country ( Raw Material, Child Parts etc. )
6) VSI ( Original ) 
7) Target ( Original )
8) D&amp;D Cost - Amortisation Amount per car, Volume 
9) SRM related details ( refer sheet "Outline Concept - SRM")</t>
    </r>
  </si>
  <si>
    <t>Respective User
1) BN - Project Manager
2) to 8) Buyer 
9) SRM</t>
  </si>
  <si>
    <t>AIS* / Email</t>
  </si>
  <si>
    <r>
      <t xml:space="preserve">- Notification should also appear as task in the respective User view.
- Possibility of Mass Data Upload feature for data update including CBD ( SAVWIPL CBD available in 2 formats )
- Possibility of Capturing Forex and Other important elements, which can be used automatic risk projection as well as price amendments
- Once SOP is done, BOM would be uploaded. Accordingly system should get updated
- System based consolidated reminder to the respective user for point # 1 - 8, every Monday till it is not filled
- System based consolidated reminder to the respective user head for point # 1 - 8, post 4 reminders every Monday till it is not filled
</t>
    </r>
    <r>
      <rPr>
        <i/>
        <sz val="10"/>
        <color theme="1"/>
        <rFont val="Arial"/>
        <family val="2"/>
      </rPr>
      <t>- Tree Structure needed to capture Child Part Level CBD</t>
    </r>
  </si>
  <si>
    <t>Handling of Technical Change Evaluation
( Optional Package )</t>
  </si>
  <si>
    <t>- Uploading of Technical Change Request ( Aeko + AWE + AeA ) in the system 
- System will read that pdf + excel document and prepare the Technical Evaluation Sheet for the Buyer. Aeko Coordinator will verify the details and trigger to the relevant Buyer
- Incase of Model Year Change, Aeko Coordinator will put into the system manually for internal tracking purpose.</t>
  </si>
  <si>
    <t>BN - Aeko Coordinator</t>
  </si>
  <si>
    <t xml:space="preserve">AIS* </t>
  </si>
  <si>
    <t>- Buyer will get the evaluation sheet as well as PDF / Technical details sent by the Buyer
- Possibility of sending some Technical Change requests to outside India Colleagues. They should have only access to Technical Change Platform.</t>
  </si>
  <si>
    <t xml:space="preserve">- Buyer will download the necessary details and send to the supplier for evaluation.
- Once that evaluation is received, Buyer will upload the offer (1) and enter the commercial &amp; timeline (2) and other details in the system </t>
  </si>
  <si>
    <t>1) Respective Buyer
2) Respective SRM</t>
  </si>
  <si>
    <t>- System will start sending the reminder to the Buyer for submitting the evaluation from the 5th day onwards on daily consolidated list basis mentioning days since distribution
- There is Mod Sheet Format, which needs to be filled by the system where current prices needs to be fetched by the knowledge source ( possibility of overwriting the old prices) and new prices would be entered by the Buyer</t>
  </si>
  <si>
    <t>Once Aeko / Model Year Point / Running Changes are approved, Aeko Coordinator will confirm through System</t>
  </si>
  <si>
    <t>- Buyer will get the confirmation alongwith commercials and SRM Team Member will get the info about approval .
- Aeko Tracking Dashboard + download report option for the Technical Change portal would be required</t>
  </si>
  <si>
    <t>Buyer initiates Change Request for part - technical / supplier / price changes etc.</t>
  </si>
  <si>
    <t>Whenever, any change is coming to any part, price, business share etc., Buyer has to initiate the Change Request Approval through this platform</t>
  </si>
  <si>
    <t>Respective Buyer</t>
  </si>
  <si>
    <r>
      <t xml:space="preserve">- Material - Buyer relation would be handled through Master, which can be updated through mass data upload
- For any price change, Buyer has to also update the CBD
</t>
    </r>
    <r>
      <rPr>
        <i/>
        <sz val="10"/>
        <color theme="1"/>
        <rFont val="Arial"/>
        <family val="2"/>
      </rPr>
      <t>- Provision of modifying the Tree Structure whenever there are changes in prices / technical changes</t>
    </r>
    <r>
      <rPr>
        <sz val="10"/>
        <color theme="1"/>
        <rFont val="Arial"/>
        <family val="2"/>
      </rPr>
      <t xml:space="preserve">
- Unique numbering should be there for each approval workflow
- Provision of uploading any supporting document
</t>
    </r>
    <r>
      <rPr>
        <i/>
        <sz val="10"/>
        <color theme="1"/>
        <rFont val="Arial"/>
        <family val="2"/>
      </rPr>
      <t>- In certain cases, part number index is not changed, in such conditions through AEKO ( Technical Change Request ) Number Technical Change and related Price Changes needs to be captured</t>
    </r>
  </si>
  <si>
    <t>Change Request follows defined approval workflow</t>
  </si>
  <si>
    <t>Change request once triggered by Buyer, it will follow the defined workflow based on the change content</t>
  </si>
  <si>
    <t>Respective Buyer and Approvers</t>
  </si>
  <si>
    <t>Email + AIS*</t>
  </si>
  <si>
    <t>Updating the system records in line with approval</t>
  </si>
  <si>
    <t>Once Change Request is approved, details would be updated accordingly and Approval Note will go to the supplier as well as Users kept under circulation</t>
  </si>
  <si>
    <t>- Log should be available for email tracking as well as it's rejection
- Option for updating the User Master Data for future use, if any user would like to do ( either in My Master Data or Department Master Data )</t>
  </si>
  <si>
    <t>EBON Mass Data file for updating EBON Purchase Orders</t>
  </si>
  <si>
    <t>Buyer will Email / upload the EBON Mass Data file, system will update the same and provide to the Buyer. The same file can be used for updating the EBON Purchase Orders</t>
  </si>
  <si>
    <t>Mass data upload template would be provided by SAVWIPL</t>
  </si>
  <si>
    <t>Annual Reminder for updating Purchase Orders</t>
  </si>
  <si>
    <t xml:space="preserve">If there are yearly price reductions on any part, then Annual Reminders will be triggered to the respective Buyers for updating the EBON Purchase Orders </t>
  </si>
  <si>
    <t>November Each Year</t>
  </si>
  <si>
    <t>Format for email reminder will shared by SAVWIPL</t>
  </si>
  <si>
    <t>Provision for Commodity Prices and EKL</t>
  </si>
  <si>
    <r>
      <t xml:space="preserve">Possibility of Entering below :
1) Commodity Prices, based on the defined frequency, which will follow normal workflow and once it is approved, that can be used for automatic price calculation as well as approval
2) </t>
    </r>
    <r>
      <rPr>
        <i/>
        <sz val="10"/>
        <color theme="1"/>
        <rFont val="Arial"/>
        <family val="2"/>
      </rPr>
      <t>Targetted</t>
    </r>
    <r>
      <rPr>
        <sz val="10"/>
        <color theme="1"/>
        <rFont val="Arial"/>
        <family val="2"/>
      </rPr>
      <t xml:space="preserve"> EKL by respective Buyer to plan his Business Plan
3) Car Volumes ( using mass upload file through email / upload )</t>
    </r>
  </si>
  <si>
    <t>1) Team Member from Lead Commodity
2) Respective Buyer
3) B/Z</t>
  </si>
  <si>
    <t>- Commodity Prices Lead, Approval Workflow would be defined by SAVWIPL
- Forecast EKL / Part Prices can be effective from any date / month of the year
- Car Volumes would be uploaded centerally by B/Z</t>
  </si>
  <si>
    <t xml:space="preserve">Provision of Dashboard </t>
  </si>
  <si>
    <t>Provision of Dashboard for :
1) Material Cost ( 02 User Views - Procurement + Finance )
2) Investment Cost 
3) Investment Cost Benchmarking 
4) Tooling and Part Readiness ( refer sheet "Outline Concept - SRM )</t>
  </si>
  <si>
    <t>Data fields would be provided by SAVWIPL</t>
  </si>
  <si>
    <t>Query capability for Material &amp; Tooling (text + graphical)</t>
  </si>
  <si>
    <t>There should be a possibility of asking any queries related to Material and Tooling at Part or Car Level. The system should able to answer in text as well as Graphical Manner</t>
  </si>
  <si>
    <t>- Forecasting of Exchange Rate, Commodity Risk, Yearly Price Savings etc.
- Example of Queries + Presentation Templates would be provided by SAVWIPL</t>
  </si>
  <si>
    <t xml:space="preserve">Updating / Uploading of Data of any random projects </t>
  </si>
  <si>
    <t>Uploading of Data of any random projects for Benchmarking Purpose</t>
  </si>
  <si>
    <t>Respective Buyer - Part Price
Project Manager - Tooling</t>
  </si>
  <si>
    <t xml:space="preserve">Updating / Uploading of details for the imported part coming from Group Companies </t>
  </si>
  <si>
    <r>
      <rPr>
        <b/>
        <sz val="10"/>
        <color theme="1"/>
        <rFont val="Arial"/>
        <family val="2"/>
      </rPr>
      <t>Before SOP of Car Project :</t>
    </r>
    <r>
      <rPr>
        <sz val="10"/>
        <color theme="1"/>
        <rFont val="Arial"/>
        <family val="2"/>
      </rPr>
      <t xml:space="preserve">
Provision of entering Block Prices against Dummy Part Number / s for the imported parts which will come from Group Companies.
</t>
    </r>
    <r>
      <rPr>
        <b/>
        <sz val="10"/>
        <color theme="1"/>
        <rFont val="Arial"/>
        <family val="2"/>
      </rPr>
      <t xml:space="preserve">At SOP of Car Project :
</t>
    </r>
    <r>
      <rPr>
        <sz val="10"/>
        <color theme="1"/>
        <rFont val="Arial"/>
        <family val="2"/>
      </rPr>
      <t>Updating / Uploading of details ( Part Number, Price etc. ) for the imported parts coming from Group Companies.</t>
    </r>
  </si>
  <si>
    <t>Material Controlling</t>
  </si>
  <si>
    <t>At SOP of Car Project</t>
  </si>
  <si>
    <t>Data fields / format would be provided by SAVWIPL</t>
  </si>
  <si>
    <t>Updating / Uploading of Car Bill of Material at SOP of Car Project</t>
  </si>
  <si>
    <r>
      <rPr>
        <b/>
        <sz val="10"/>
        <color theme="1"/>
        <rFont val="Arial"/>
        <family val="2"/>
      </rPr>
      <t xml:space="preserve">At SOP of Car Project :
</t>
    </r>
    <r>
      <rPr>
        <sz val="10"/>
        <color theme="1"/>
        <rFont val="Arial"/>
        <family val="2"/>
      </rPr>
      <t>Updating / Uploading of Part Details ( Part Number Applicability based on each Car Model - X Numbers / Car )</t>
    </r>
  </si>
  <si>
    <t>AIS :</t>
  </si>
  <si>
    <t>Appropriate IT Solution</t>
  </si>
  <si>
    <t>Assigning Parts within KTM</t>
  </si>
  <si>
    <t>Central Coordinator of SRM assign Parts to Respective SRM Team Member</t>
  </si>
  <si>
    <t>BN - SRM Central Coordinator</t>
  </si>
  <si>
    <t>Continued from point # 5.9 of sheet "Outline Concept- Other than SRM"</t>
  </si>
  <si>
    <t>Updating various dates in the system</t>
  </si>
  <si>
    <t>Update :
- Part Numbers with Colour Codes ( Fakum ) against base part numbers only ( if not available in the base part number )
- Various dates in the system based on the agreed / signed Commitment Sheet
- Respective Stakeholders names from TCP, Quality and Logistics
- Tooling Details eg. Number of tools, Number of Cavities, Sizes, Photographs</t>
  </si>
  <si>
    <t>Respective SRM Team Member</t>
  </si>
  <si>
    <r>
      <t>- Dates for various milestones ( Supplier Commitment ):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Plan, Actual. First entry as well as Amendments have to be approved by the Supervisor / Commodity Lead. The change History should be visible on the Dashboard / Reports as Strikethrough
- Project related milestones, will come from Project Master ( point 1 of sheet "Outline Concept- Other than SRM" )
- In certain cases, part level Project Dates needs to be maintained
- The details, which needs to be updated would be provide by SAVWIPL</t>
    </r>
  </si>
  <si>
    <t>Email Notifications to SRM Colleague for Management Data Update</t>
  </si>
  <si>
    <t>Each Monday, reminder email will be sent to each SRM Team Member to update the details latest by Thursday for Management Update</t>
  </si>
  <si>
    <t>Each Monday</t>
  </si>
  <si>
    <t>SRM Format 1 for email notification will shared by SAVWIPL</t>
  </si>
  <si>
    <t>Email Notifications to SRM Colleague</t>
  </si>
  <si>
    <t>Weekly Consolidated Email notification / alerts to respective SRM Team Member, will start at least 6 weeks before the planned milestone dates</t>
  </si>
  <si>
    <t>SRM Format 2 for email notification will shared by SAVWIPL</t>
  </si>
  <si>
    <t>Weekly Consolidated Email notification / alerts to respective TCP, Quality &amp; Logistics Colleagues, will start at least 6 weeks before the planned milestone dates subject to receipt of Samples</t>
  </si>
  <si>
    <t>SRM Format 3a &amp; b for email notification will shared by SAVWIPL</t>
  </si>
  <si>
    <t>Auto Email / Download of Status Tracking Report and circulate</t>
  </si>
  <si>
    <t>Auto Email / Download of Status Tracking Report ( ppt / pdf ) in the pre-defined format, which can be circulated to all stake holders</t>
  </si>
  <si>
    <t>As defined</t>
  </si>
  <si>
    <t>Format for email notification as well as reporting template will shared by SAVWIPL</t>
  </si>
  <si>
    <t>Provision of Dashboard for :
1) Tooling and Part Readiness
2) Status Tracking</t>
  </si>
  <si>
    <t>Data fields will be provided by SAVWIPL</t>
  </si>
  <si>
    <t>There should be a possibility of asking any queries related to Part and Tooling Readiness. The system should able to answer in text as well as Graphical Manner</t>
  </si>
  <si>
    <t>- Example of Queries + Presentation Templates would be provided by SAVWIPL</t>
  </si>
  <si>
    <t>Cost</t>
  </si>
  <si>
    <t>Resource</t>
  </si>
  <si>
    <t>Monthly Sal</t>
  </si>
  <si>
    <t>Year-1</t>
  </si>
  <si>
    <t>Year-2</t>
  </si>
  <si>
    <t>Year-3</t>
  </si>
  <si>
    <t>Year-4</t>
  </si>
  <si>
    <t>Year-5</t>
  </si>
  <si>
    <t xml:space="preserve">Rushikesh Sarode </t>
  </si>
  <si>
    <t>Riya Mathpati</t>
  </si>
  <si>
    <t>Total - Cost</t>
  </si>
  <si>
    <t>Cost in Lakh</t>
  </si>
  <si>
    <t>Contribution</t>
  </si>
  <si>
    <t>Quote as below</t>
  </si>
  <si>
    <t>QUOTE =&gt;</t>
  </si>
  <si>
    <t>Hourly Blend Rate</t>
  </si>
  <si>
    <t>Round Figure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</si>
</sst>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  <numFmt numFmtId="166" formatCode="0.0%"/>
    <numFmt numFmtId="167" formatCode="[$₹-4009]\ #,##0"/>
    <numFmt numFmtId="168" formatCode="[$₹-4009]\ #,##0.00"/>
    <numFmt numFmtId="169" formatCode="&quot;$&quot;#,##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Segoe UI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indexed="81"/>
      <name val="Tahoma"/>
      <family val="2"/>
    </font>
    <font>
      <sz val="11"/>
      <color theme="5" tint="-0.499984740745262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FF00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quotePrefix="1" applyFont="1" applyBorder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4" fillId="2" borderId="1" xfId="2" applyFont="1" applyFill="1" applyBorder="1" applyAlignment="1">
      <alignment vertical="center" wrapText="1"/>
    </xf>
    <xf numFmtId="0" fontId="4" fillId="2" borderId="1" xfId="2" quotePrefix="1" applyFont="1" applyFill="1" applyBorder="1" applyAlignment="1">
      <alignment vertical="center" wrapText="1"/>
    </xf>
    <xf numFmtId="0" fontId="4" fillId="2" borderId="1" xfId="2" applyFont="1" applyFill="1" applyBorder="1" applyAlignment="1">
      <alignment vertical="center"/>
    </xf>
    <xf numFmtId="0" fontId="4" fillId="3" borderId="1" xfId="2" applyFont="1" applyFill="1" applyBorder="1" applyAlignment="1">
      <alignment vertical="center" wrapText="1"/>
    </xf>
    <xf numFmtId="0" fontId="3" fillId="0" borderId="0" xfId="2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0" borderId="1" xfId="2" applyFont="1" applyBorder="1" applyAlignment="1">
      <alignment vertical="center" wrapText="1"/>
    </xf>
    <xf numFmtId="0" fontId="4" fillId="3" borderId="1" xfId="2" applyFont="1" applyFill="1" applyBorder="1" applyAlignment="1">
      <alignment vertical="center"/>
    </xf>
    <xf numFmtId="0" fontId="7" fillId="0" borderId="0" xfId="2" applyFont="1" applyAlignment="1">
      <alignment vertical="center" wrapText="1"/>
    </xf>
    <xf numFmtId="0" fontId="6" fillId="0" borderId="0" xfId="2" applyFont="1" applyAlignment="1">
      <alignment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6" fillId="2" borderId="1" xfId="2" quotePrefix="1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1" xfId="2" quotePrefix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horizontal="left"/>
    </xf>
    <xf numFmtId="0" fontId="8" fillId="5" borderId="1" xfId="0" applyFont="1" applyFill="1" applyBorder="1"/>
    <xf numFmtId="0" fontId="8" fillId="6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4" fontId="0" fillId="6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43" fontId="0" fillId="5" borderId="0" xfId="0" applyNumberFormat="1" applyFill="1"/>
    <xf numFmtId="43" fontId="0" fillId="6" borderId="0" xfId="0" applyNumberFormat="1" applyFill="1"/>
    <xf numFmtId="9" fontId="8" fillId="0" borderId="1" xfId="0" applyNumberFormat="1" applyFont="1" applyBorder="1"/>
    <xf numFmtId="9" fontId="12" fillId="0" borderId="0" xfId="0" applyNumberFormat="1" applyFont="1"/>
    <xf numFmtId="166" fontId="0" fillId="0" borderId="0" xfId="3" applyNumberFormat="1" applyFont="1"/>
    <xf numFmtId="164" fontId="16" fillId="0" borderId="1" xfId="0" applyNumberFormat="1" applyFont="1" applyBorder="1"/>
    <xf numFmtId="164" fontId="16" fillId="5" borderId="1" xfId="0" applyNumberFormat="1" applyFont="1" applyFill="1" applyBorder="1"/>
    <xf numFmtId="43" fontId="16" fillId="5" borderId="0" xfId="0" applyNumberFormat="1" applyFont="1" applyFill="1"/>
    <xf numFmtId="0" fontId="17" fillId="0" borderId="0" xfId="0" applyFont="1"/>
    <xf numFmtId="43" fontId="17" fillId="0" borderId="0" xfId="0" applyNumberFormat="1" applyFont="1"/>
    <xf numFmtId="0" fontId="17" fillId="0" borderId="0" xfId="0" applyFont="1" applyAlignment="1">
      <alignment horizontal="left" indent="2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vertical="center"/>
    </xf>
    <xf numFmtId="167" fontId="8" fillId="8" borderId="1" xfId="0" applyNumberFormat="1" applyFont="1" applyFill="1" applyBorder="1" applyAlignment="1">
      <alignment vertical="center"/>
    </xf>
    <xf numFmtId="169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0" fontId="0" fillId="8" borderId="0" xfId="0" applyFill="1" applyAlignment="1">
      <alignment vertical="center"/>
    </xf>
    <xf numFmtId="169" fontId="18" fillId="8" borderId="0" xfId="0" applyNumberFormat="1" applyFont="1" applyFill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</cellXfs>
  <cellStyles count="4">
    <cellStyle name="Normal" xfId="0" builtinId="0"/>
    <cellStyle name="Normal 2" xfId="1" xr:uid="{A3D0B0A8-9274-4373-93DE-2C7787D223E1}"/>
    <cellStyle name="Normal 2 2" xfId="2" xr:uid="{5C9E22B2-4438-4BF8-B3AB-167092E1670C}"/>
    <cellStyle name="Percent" xfId="3" builtinId="5"/>
  </cellStyles>
  <dxfs count="0"/>
  <tableStyles count="0" defaultTableStyle="TableStyleMedium2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1D51-6F9E-4F01-A045-BA5B1D0FB39F}">
  <dimension ref="A1:R82"/>
  <sheetViews>
    <sheetView tabSelected="1" topLeftCell="A66" zoomScaleNormal="100" workbookViewId="0">
      <selection activeCell="I80" sqref="I80"/>
    </sheetView>
  </sheetViews>
  <sheetFormatPr defaultColWidth="8.85546875" defaultRowHeight="13.15"/>
  <cols>
    <col min="1" max="2" width="8.85546875" style="6"/>
    <col min="3" max="4" width="30.28515625" style="6" customWidth="1"/>
    <col min="5" max="10" width="22.7109375" style="6" customWidth="1"/>
    <col min="11" max="11" width="30.28515625" style="6" customWidth="1"/>
    <col min="12" max="16384" width="8.85546875" style="6"/>
  </cols>
  <sheetData>
    <row r="1" spans="1:15" s="5" customFormat="1">
      <c r="A1" s="5" t="s">
        <v>0</v>
      </c>
      <c r="B1" s="5" t="s">
        <v>1</v>
      </c>
    </row>
    <row r="3" spans="1:15">
      <c r="A3" s="5" t="s">
        <v>2</v>
      </c>
    </row>
    <row r="4" spans="1:15">
      <c r="A4" s="5"/>
    </row>
    <row r="5" spans="1:15">
      <c r="A5" s="87" t="s">
        <v>3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</row>
    <row r="6" spans="1:15">
      <c r="A6" s="8" t="s">
        <v>4</v>
      </c>
      <c r="B6" s="9" t="s">
        <v>5</v>
      </c>
      <c r="C6" s="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>
      <c r="A7" s="8" t="s">
        <v>4</v>
      </c>
      <c r="B7" s="9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>
      <c r="A8" s="8" t="s">
        <v>4</v>
      </c>
      <c r="B8" s="9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>
      <c r="A9" s="8" t="s">
        <v>4</v>
      </c>
      <c r="B9" s="9" t="s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>
      <c r="A10" s="8" t="s">
        <v>4</v>
      </c>
      <c r="B10" s="9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>
      <c r="A11" s="8" t="s">
        <v>4</v>
      </c>
      <c r="B11" s="9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>
      <c r="A12" s="8" t="s">
        <v>4</v>
      </c>
      <c r="B12" s="9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>
      <c r="A13" s="8" t="s">
        <v>4</v>
      </c>
      <c r="B13" s="9" t="s">
        <v>12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A14" s="8" t="s">
        <v>4</v>
      </c>
      <c r="B14" s="9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8" t="s">
        <v>4</v>
      </c>
      <c r="B15" s="9" t="s">
        <v>14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5"/>
    </row>
    <row r="17" spans="1:16">
      <c r="A17" s="5" t="s">
        <v>15</v>
      </c>
    </row>
    <row r="18" spans="1:16">
      <c r="A18" s="8" t="s">
        <v>4</v>
      </c>
      <c r="B18" s="6" t="s">
        <v>16</v>
      </c>
    </row>
    <row r="19" spans="1:16">
      <c r="A19" s="8" t="s">
        <v>4</v>
      </c>
      <c r="B19" s="6" t="s">
        <v>17</v>
      </c>
    </row>
    <row r="20" spans="1:16">
      <c r="A20" s="8" t="s">
        <v>4</v>
      </c>
      <c r="B20" s="6" t="s">
        <v>18</v>
      </c>
    </row>
    <row r="22" spans="1:16">
      <c r="A22" s="5" t="s">
        <v>19</v>
      </c>
    </row>
    <row r="23" spans="1:16">
      <c r="A23" s="8" t="s">
        <v>4</v>
      </c>
      <c r="B23" s="6" t="s">
        <v>20</v>
      </c>
      <c r="P23" s="25"/>
    </row>
    <row r="24" spans="1:16">
      <c r="A24" s="8" t="s">
        <v>4</v>
      </c>
      <c r="B24" s="6" t="s">
        <v>21</v>
      </c>
    </row>
    <row r="25" spans="1:16">
      <c r="A25" s="8" t="s">
        <v>4</v>
      </c>
      <c r="B25" s="6" t="s">
        <v>22</v>
      </c>
    </row>
    <row r="26" spans="1:16">
      <c r="A26" s="8" t="s">
        <v>4</v>
      </c>
      <c r="B26" s="6" t="s">
        <v>23</v>
      </c>
    </row>
    <row r="28" spans="1:16">
      <c r="A28" s="5" t="s">
        <v>24</v>
      </c>
    </row>
    <row r="29" spans="1:16">
      <c r="A29" s="8" t="s">
        <v>4</v>
      </c>
      <c r="B29" s="6" t="s">
        <v>25</v>
      </c>
    </row>
    <row r="30" spans="1:16">
      <c r="A30" s="8" t="s">
        <v>4</v>
      </c>
      <c r="B30" s="6" t="s">
        <v>26</v>
      </c>
    </row>
    <row r="31" spans="1:16">
      <c r="A31" s="8" t="s">
        <v>4</v>
      </c>
      <c r="B31" s="6" t="s">
        <v>27</v>
      </c>
    </row>
    <row r="32" spans="1:16">
      <c r="A32" s="8" t="s">
        <v>4</v>
      </c>
      <c r="B32" s="6" t="s">
        <v>28</v>
      </c>
    </row>
    <row r="33" spans="1:18">
      <c r="A33" s="8" t="s">
        <v>4</v>
      </c>
      <c r="B33" s="6" t="s">
        <v>29</v>
      </c>
    </row>
    <row r="34" spans="1:18">
      <c r="A34" s="8" t="s">
        <v>4</v>
      </c>
      <c r="B34" s="6" t="s">
        <v>30</v>
      </c>
    </row>
    <row r="35" spans="1:18">
      <c r="A35" s="8" t="s">
        <v>4</v>
      </c>
      <c r="B35" s="87" t="s">
        <v>31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</row>
    <row r="36" spans="1:18">
      <c r="A36" s="8" t="s">
        <v>4</v>
      </c>
      <c r="B36" s="6" t="s">
        <v>32</v>
      </c>
    </row>
    <row r="37" spans="1:18">
      <c r="A37" s="8" t="s">
        <v>4</v>
      </c>
      <c r="B37" s="6" t="s">
        <v>33</v>
      </c>
    </row>
    <row r="38" spans="1:18">
      <c r="A38" s="8" t="s">
        <v>4</v>
      </c>
      <c r="B38" s="6" t="s">
        <v>34</v>
      </c>
    </row>
    <row r="39" spans="1:18">
      <c r="A39" s="8" t="s">
        <v>4</v>
      </c>
      <c r="B39" s="6" t="s">
        <v>35</v>
      </c>
    </row>
    <row r="40" spans="1:18">
      <c r="A40" s="8" t="s">
        <v>4</v>
      </c>
      <c r="B40" s="6" t="s">
        <v>36</v>
      </c>
    </row>
    <row r="41" spans="1:18">
      <c r="A41" s="8" t="s">
        <v>4</v>
      </c>
      <c r="B41" s="6" t="s">
        <v>37</v>
      </c>
    </row>
    <row r="42" spans="1:18">
      <c r="A42" s="8" t="s">
        <v>4</v>
      </c>
      <c r="B42" s="6" t="s">
        <v>38</v>
      </c>
    </row>
    <row r="43" spans="1:18">
      <c r="A43" s="8" t="s">
        <v>4</v>
      </c>
      <c r="B43" s="6" t="s">
        <v>39</v>
      </c>
    </row>
    <row r="44" spans="1:18">
      <c r="A44" s="8" t="s">
        <v>4</v>
      </c>
      <c r="B44" s="6" t="s">
        <v>40</v>
      </c>
    </row>
    <row r="45" spans="1:18">
      <c r="A45" s="8" t="s">
        <v>4</v>
      </c>
      <c r="B45" s="6" t="s">
        <v>41</v>
      </c>
    </row>
    <row r="46" spans="1:18">
      <c r="A46" s="8" t="s">
        <v>4</v>
      </c>
      <c r="B46" s="6" t="s">
        <v>42</v>
      </c>
    </row>
    <row r="47" spans="1:18">
      <c r="A47" s="8" t="s">
        <v>4</v>
      </c>
      <c r="B47" s="6" t="s">
        <v>43</v>
      </c>
    </row>
    <row r="48" spans="1:18">
      <c r="A48" s="8" t="s">
        <v>4</v>
      </c>
      <c r="B48" s="6" t="s">
        <v>44</v>
      </c>
    </row>
    <row r="49" spans="1:6">
      <c r="A49" s="8" t="s">
        <v>4</v>
      </c>
      <c r="B49" s="6" t="s">
        <v>45</v>
      </c>
    </row>
    <row r="51" spans="1:6">
      <c r="A51" s="5" t="s">
        <v>46</v>
      </c>
    </row>
    <row r="53" spans="1:6">
      <c r="A53" s="8" t="s">
        <v>4</v>
      </c>
      <c r="B53" s="6" t="s">
        <v>47</v>
      </c>
    </row>
    <row r="55" spans="1:6">
      <c r="A55" s="5" t="s">
        <v>48</v>
      </c>
    </row>
    <row r="57" spans="1:6">
      <c r="A57" s="8" t="s">
        <v>4</v>
      </c>
      <c r="B57" s="6" t="s">
        <v>49</v>
      </c>
    </row>
    <row r="58" spans="1:6">
      <c r="A58" s="8" t="s">
        <v>4</v>
      </c>
      <c r="B58" s="6" t="s">
        <v>50</v>
      </c>
    </row>
    <row r="59" spans="1:6">
      <c r="A59" s="8" t="s">
        <v>4</v>
      </c>
      <c r="B59" s="6" t="s">
        <v>51</v>
      </c>
    </row>
    <row r="60" spans="1:6">
      <c r="A60" s="8" t="s">
        <v>4</v>
      </c>
      <c r="B60" s="6" t="s">
        <v>52</v>
      </c>
    </row>
    <row r="62" spans="1:6">
      <c r="A62" s="5" t="s">
        <v>53</v>
      </c>
    </row>
    <row r="63" spans="1:6">
      <c r="A63" s="6" t="s">
        <v>54</v>
      </c>
    </row>
    <row r="64" spans="1:6">
      <c r="A64" s="8" t="s">
        <v>4</v>
      </c>
      <c r="B64" s="6" t="s">
        <v>55</v>
      </c>
      <c r="F64" s="71">
        <f>E73</f>
        <v>13103764.636363637</v>
      </c>
    </row>
    <row r="65" spans="1:11">
      <c r="A65" s="8" t="s">
        <v>4</v>
      </c>
      <c r="B65" s="6" t="s">
        <v>56</v>
      </c>
      <c r="F65" s="72">
        <f>F64*1.1</f>
        <v>14414141.100000001</v>
      </c>
    </row>
    <row r="67" spans="1:11" s="35" customFormat="1" ht="14.45">
      <c r="B67" s="36"/>
      <c r="C67" s="37"/>
      <c r="D67" s="88" t="s">
        <v>57</v>
      </c>
      <c r="E67" s="89"/>
      <c r="F67" s="89"/>
      <c r="G67" s="89"/>
      <c r="H67" s="89"/>
      <c r="I67" s="89"/>
      <c r="J67" s="89"/>
      <c r="K67" s="90"/>
    </row>
    <row r="68" spans="1:11" s="35" customFormat="1" ht="26.45">
      <c r="B68" s="83" t="s">
        <v>58</v>
      </c>
      <c r="C68" s="84"/>
      <c r="D68" s="41" t="s">
        <v>59</v>
      </c>
      <c r="E68" s="79" t="s">
        <v>60</v>
      </c>
      <c r="F68" s="80"/>
      <c r="G68" s="81" t="s">
        <v>61</v>
      </c>
      <c r="H68" s="82"/>
      <c r="I68" s="79" t="s">
        <v>62</v>
      </c>
      <c r="J68" s="80"/>
      <c r="K68" s="75" t="s">
        <v>63</v>
      </c>
    </row>
    <row r="69" spans="1:11" s="35" customFormat="1" ht="14.45">
      <c r="B69" s="85"/>
      <c r="C69" s="86"/>
      <c r="D69" s="41" t="s">
        <v>64</v>
      </c>
      <c r="E69" s="42" t="s">
        <v>65</v>
      </c>
      <c r="F69" s="42" t="s">
        <v>66</v>
      </c>
      <c r="G69" s="42" t="s">
        <v>65</v>
      </c>
      <c r="H69" s="42" t="s">
        <v>66</v>
      </c>
      <c r="I69" s="42" t="s">
        <v>65</v>
      </c>
      <c r="J69" s="42" t="s">
        <v>66</v>
      </c>
      <c r="K69" s="76"/>
    </row>
    <row r="70" spans="1:11" s="35" customFormat="1" ht="43.15">
      <c r="B70" s="39" t="s">
        <v>67</v>
      </c>
      <c r="C70" s="38" t="s">
        <v>68</v>
      </c>
      <c r="D70" s="43" t="s">
        <v>69</v>
      </c>
      <c r="E70" s="40"/>
      <c r="F70" s="40"/>
      <c r="G70" s="40"/>
      <c r="H70" s="40"/>
      <c r="I70" s="40"/>
      <c r="J70" s="40"/>
      <c r="K70" s="40"/>
    </row>
    <row r="71" spans="1:11" s="35" customFormat="1" ht="43.15">
      <c r="B71" s="39" t="s">
        <v>70</v>
      </c>
      <c r="C71" s="38" t="s">
        <v>71</v>
      </c>
      <c r="D71" s="43" t="s">
        <v>69</v>
      </c>
      <c r="E71" s="40"/>
      <c r="F71" s="40"/>
      <c r="G71" s="40"/>
      <c r="H71" s="40"/>
      <c r="I71" s="40"/>
      <c r="J71" s="40"/>
      <c r="K71" s="40"/>
    </row>
    <row r="72" spans="1:11" s="35" customFormat="1" ht="14.45">
      <c r="B72" s="39" t="s">
        <v>72</v>
      </c>
      <c r="C72" s="39" t="s">
        <v>73</v>
      </c>
      <c r="D72" s="43" t="s">
        <v>69</v>
      </c>
      <c r="E72" s="40"/>
      <c r="F72" s="40"/>
      <c r="G72" s="40"/>
      <c r="H72" s="40"/>
      <c r="I72" s="40"/>
      <c r="J72" s="40"/>
      <c r="K72" s="40"/>
    </row>
    <row r="73" spans="1:11" s="35" customFormat="1" ht="14.45">
      <c r="A73" s="70" t="s">
        <v>74</v>
      </c>
      <c r="B73" s="91" t="s">
        <v>75</v>
      </c>
      <c r="C73" s="92"/>
      <c r="D73" s="67"/>
      <c r="E73" s="68">
        <f>AMC!I8</f>
        <v>13103764.636363637</v>
      </c>
      <c r="F73" s="68">
        <f>(E73*1.1)+E73</f>
        <v>27517905.736363638</v>
      </c>
      <c r="G73" s="68">
        <v>1600</v>
      </c>
      <c r="H73" s="68">
        <f>1600*1.1</f>
        <v>1760.0000000000002</v>
      </c>
      <c r="I73" s="68">
        <f>G73*8</f>
        <v>12800</v>
      </c>
      <c r="J73" s="68">
        <f>I73*1.1</f>
        <v>14080.000000000002</v>
      </c>
      <c r="K73" s="67"/>
    </row>
    <row r="74" spans="1:11" s="35" customFormat="1" ht="14.45">
      <c r="A74" s="70">
        <v>90</v>
      </c>
      <c r="B74" s="73"/>
      <c r="C74" s="73"/>
      <c r="D74" s="73"/>
      <c r="E74" s="74">
        <f>E73/$A$74</f>
        <v>145597.38484848486</v>
      </c>
      <c r="F74" s="74">
        <f>F73/$A$74</f>
        <v>305754.50818181818</v>
      </c>
      <c r="G74" s="74">
        <f>G73/$A$74</f>
        <v>17.777777777777779</v>
      </c>
      <c r="H74" s="74">
        <f>H73/$A$74</f>
        <v>19.555555555555557</v>
      </c>
      <c r="I74" s="74">
        <f>I73/$A$74</f>
        <v>142.22222222222223</v>
      </c>
      <c r="J74" s="74">
        <f>J73/$A$74</f>
        <v>156.44444444444446</v>
      </c>
      <c r="K74" s="73"/>
    </row>
    <row r="75" spans="1:11" s="35" customFormat="1" ht="14.45">
      <c r="A75" s="70"/>
      <c r="E75" s="69"/>
      <c r="F75" s="69"/>
      <c r="G75" s="69"/>
      <c r="H75" s="69"/>
      <c r="I75" s="69"/>
      <c r="J75" s="69"/>
    </row>
    <row r="76" spans="1:11" s="35" customFormat="1" ht="14.45">
      <c r="B76" s="36"/>
      <c r="C76" s="37"/>
      <c r="D76" s="88" t="s">
        <v>76</v>
      </c>
      <c r="E76" s="89"/>
      <c r="F76" s="89"/>
      <c r="G76" s="89"/>
      <c r="H76" s="89"/>
      <c r="I76" s="89"/>
      <c r="J76" s="89"/>
      <c r="K76" s="90"/>
    </row>
    <row r="77" spans="1:11" s="35" customFormat="1" ht="26.45">
      <c r="B77" s="83" t="s">
        <v>58</v>
      </c>
      <c r="C77" s="84"/>
      <c r="D77" s="41" t="s">
        <v>59</v>
      </c>
      <c r="E77" s="81" t="s">
        <v>60</v>
      </c>
      <c r="F77" s="82"/>
      <c r="G77" s="81" t="s">
        <v>61</v>
      </c>
      <c r="H77" s="82"/>
      <c r="I77" s="81" t="s">
        <v>62</v>
      </c>
      <c r="J77" s="82"/>
      <c r="K77" s="75" t="s">
        <v>77</v>
      </c>
    </row>
    <row r="78" spans="1:11" s="35" customFormat="1" ht="14.45">
      <c r="B78" s="85"/>
      <c r="C78" s="86"/>
      <c r="D78" s="41" t="s">
        <v>64</v>
      </c>
      <c r="E78" s="42" t="s">
        <v>65</v>
      </c>
      <c r="F78" s="42" t="s">
        <v>66</v>
      </c>
      <c r="G78" s="42" t="s">
        <v>65</v>
      </c>
      <c r="H78" s="42" t="s">
        <v>66</v>
      </c>
      <c r="I78" s="42" t="s">
        <v>65</v>
      </c>
      <c r="J78" s="42" t="s">
        <v>66</v>
      </c>
      <c r="K78" s="76"/>
    </row>
    <row r="79" spans="1:11" s="35" customFormat="1" ht="43.15">
      <c r="B79" s="39" t="s">
        <v>67</v>
      </c>
      <c r="C79" s="38" t="s">
        <v>68</v>
      </c>
      <c r="D79" s="40"/>
      <c r="E79" s="40"/>
      <c r="F79" s="40"/>
      <c r="G79" s="40"/>
      <c r="H79" s="40"/>
      <c r="I79" s="40"/>
      <c r="J79" s="40"/>
      <c r="K79" s="40"/>
    </row>
    <row r="80" spans="1:11" s="35" customFormat="1" ht="43.15">
      <c r="B80" s="39" t="s">
        <v>70</v>
      </c>
      <c r="C80" s="38" t="s">
        <v>71</v>
      </c>
      <c r="D80" s="40"/>
      <c r="E80" s="40"/>
      <c r="F80" s="40"/>
      <c r="G80" s="40"/>
      <c r="H80" s="40"/>
      <c r="I80" s="40"/>
      <c r="J80" s="40"/>
      <c r="K80" s="40"/>
    </row>
    <row r="81" spans="2:11" s="35" customFormat="1" ht="14.45">
      <c r="B81" s="39" t="s">
        <v>72</v>
      </c>
      <c r="C81" s="39" t="s">
        <v>73</v>
      </c>
      <c r="D81" s="40"/>
      <c r="E81" s="40"/>
      <c r="F81" s="40"/>
      <c r="G81" s="40"/>
      <c r="H81" s="40"/>
      <c r="I81" s="40"/>
      <c r="J81" s="40"/>
      <c r="K81" s="40"/>
    </row>
    <row r="82" spans="2:11" s="35" customFormat="1" ht="14.45">
      <c r="B82" s="77" t="s">
        <v>75</v>
      </c>
      <c r="C82" s="78"/>
      <c r="D82" s="40"/>
      <c r="E82" s="40"/>
      <c r="F82" s="40"/>
      <c r="G82" s="40"/>
      <c r="H82" s="40"/>
      <c r="I82" s="40"/>
      <c r="J82" s="40"/>
      <c r="K82" s="40"/>
    </row>
  </sheetData>
  <mergeCells count="16">
    <mergeCell ref="B35:R35"/>
    <mergeCell ref="A5:O5"/>
    <mergeCell ref="D67:K67"/>
    <mergeCell ref="B73:C73"/>
    <mergeCell ref="D76:K76"/>
    <mergeCell ref="K68:K69"/>
    <mergeCell ref="K77:K78"/>
    <mergeCell ref="B82:C82"/>
    <mergeCell ref="E68:F68"/>
    <mergeCell ref="G68:H68"/>
    <mergeCell ref="I68:J68"/>
    <mergeCell ref="E77:F77"/>
    <mergeCell ref="G77:H77"/>
    <mergeCell ref="I77:J77"/>
    <mergeCell ref="B68:C69"/>
    <mergeCell ref="B77:C7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0CD1-083B-4F04-B6B3-0B8E0F82DE0A}">
  <dimension ref="A2:H23"/>
  <sheetViews>
    <sheetView zoomScaleNormal="100" workbookViewId="0">
      <selection activeCell="B8" sqref="B8"/>
    </sheetView>
  </sheetViews>
  <sheetFormatPr defaultColWidth="8.85546875" defaultRowHeight="13.15"/>
  <cols>
    <col min="1" max="1" width="8.85546875" style="1"/>
    <col min="2" max="2" width="29.85546875" style="19" customWidth="1"/>
    <col min="3" max="3" width="60.28515625" style="4" customWidth="1"/>
    <col min="4" max="4" width="21.85546875" style="3" bestFit="1" customWidth="1"/>
    <col min="5" max="5" width="13.140625" style="3" customWidth="1"/>
    <col min="6" max="6" width="15.28515625" style="3" customWidth="1"/>
    <col min="7" max="7" width="49.42578125" style="2" bestFit="1" customWidth="1"/>
    <col min="8" max="16384" width="8.85546875" style="2"/>
  </cols>
  <sheetData>
    <row r="2" spans="1:8" ht="36" customHeight="1">
      <c r="A2" s="10" t="s">
        <v>78</v>
      </c>
      <c r="B2" s="11" t="s">
        <v>79</v>
      </c>
      <c r="C2" s="11" t="s">
        <v>80</v>
      </c>
      <c r="D2" s="10" t="s">
        <v>81</v>
      </c>
      <c r="E2" s="10" t="s">
        <v>82</v>
      </c>
      <c r="F2" s="10" t="s">
        <v>83</v>
      </c>
      <c r="G2" s="12" t="s">
        <v>84</v>
      </c>
    </row>
    <row r="3" spans="1:8" ht="111" customHeight="1">
      <c r="A3" s="13">
        <v>1</v>
      </c>
      <c r="B3" s="14" t="s">
        <v>85</v>
      </c>
      <c r="C3" s="14" t="s">
        <v>86</v>
      </c>
      <c r="D3" s="13" t="s">
        <v>87</v>
      </c>
      <c r="E3" s="13" t="s">
        <v>88</v>
      </c>
      <c r="F3" s="13" t="s">
        <v>89</v>
      </c>
      <c r="G3" s="17" t="s">
        <v>90</v>
      </c>
    </row>
    <row r="4" spans="1:8" ht="36" customHeight="1">
      <c r="A4" s="13">
        <v>2</v>
      </c>
      <c r="B4" s="14" t="s">
        <v>91</v>
      </c>
      <c r="C4" s="14" t="s">
        <v>92</v>
      </c>
      <c r="D4" s="13" t="s">
        <v>93</v>
      </c>
      <c r="E4" s="13" t="s">
        <v>94</v>
      </c>
      <c r="F4" s="13" t="s">
        <v>95</v>
      </c>
      <c r="G4" s="12"/>
    </row>
    <row r="5" spans="1:8" ht="36" customHeight="1">
      <c r="A5" s="13">
        <v>3</v>
      </c>
      <c r="B5" s="14" t="s">
        <v>96</v>
      </c>
      <c r="C5" s="14" t="s">
        <v>97</v>
      </c>
      <c r="D5" s="13" t="s">
        <v>93</v>
      </c>
      <c r="E5" s="13" t="s">
        <v>98</v>
      </c>
      <c r="F5" s="13" t="s">
        <v>89</v>
      </c>
      <c r="G5" s="23" t="s">
        <v>99</v>
      </c>
    </row>
    <row r="6" spans="1:8" ht="36" customHeight="1">
      <c r="A6" s="13">
        <v>4</v>
      </c>
      <c r="B6" s="14" t="s">
        <v>100</v>
      </c>
      <c r="C6" s="14" t="s">
        <v>101</v>
      </c>
      <c r="D6" s="13" t="s">
        <v>102</v>
      </c>
      <c r="E6" s="13" t="s">
        <v>102</v>
      </c>
      <c r="F6" s="13" t="s">
        <v>89</v>
      </c>
      <c r="G6" s="12"/>
    </row>
    <row r="7" spans="1:8" ht="241.15" customHeight="1">
      <c r="A7" s="13">
        <v>5</v>
      </c>
      <c r="B7" s="14" t="s">
        <v>103</v>
      </c>
      <c r="C7" s="14" t="s">
        <v>104</v>
      </c>
      <c r="D7" s="16" t="s">
        <v>105</v>
      </c>
      <c r="E7" s="16" t="s">
        <v>106</v>
      </c>
      <c r="F7" s="13" t="s">
        <v>89</v>
      </c>
      <c r="G7" s="17" t="s">
        <v>107</v>
      </c>
    </row>
    <row r="8" spans="1:8" s="29" customFormat="1" ht="121.9" customHeight="1">
      <c r="A8" s="30">
        <v>6</v>
      </c>
      <c r="B8" s="31" t="s">
        <v>108</v>
      </c>
      <c r="C8" s="32" t="s">
        <v>109</v>
      </c>
      <c r="D8" s="33" t="s">
        <v>110</v>
      </c>
      <c r="E8" s="33" t="s">
        <v>111</v>
      </c>
      <c r="F8" s="30" t="s">
        <v>89</v>
      </c>
      <c r="G8" s="34" t="s">
        <v>112</v>
      </c>
    </row>
    <row r="9" spans="1:8" s="29" customFormat="1" ht="115.9" customHeight="1">
      <c r="A9" s="30">
        <v>7</v>
      </c>
      <c r="B9" s="31" t="s">
        <v>108</v>
      </c>
      <c r="C9" s="32" t="s">
        <v>113</v>
      </c>
      <c r="D9" s="33" t="s">
        <v>114</v>
      </c>
      <c r="E9" s="30" t="s">
        <v>102</v>
      </c>
      <c r="F9" s="30" t="s">
        <v>89</v>
      </c>
      <c r="G9" s="34" t="s">
        <v>115</v>
      </c>
    </row>
    <row r="10" spans="1:8" s="29" customFormat="1" ht="58.15" customHeight="1">
      <c r="A10" s="30">
        <v>9</v>
      </c>
      <c r="B10" s="31" t="s">
        <v>108</v>
      </c>
      <c r="C10" s="32" t="s">
        <v>116</v>
      </c>
      <c r="D10" s="33" t="s">
        <v>110</v>
      </c>
      <c r="E10" s="30" t="s">
        <v>102</v>
      </c>
      <c r="F10" s="30" t="s">
        <v>89</v>
      </c>
      <c r="G10" s="34" t="s">
        <v>117</v>
      </c>
    </row>
    <row r="11" spans="1:8" ht="174" customHeight="1">
      <c r="A11" s="13">
        <v>10</v>
      </c>
      <c r="B11" s="14" t="s">
        <v>118</v>
      </c>
      <c r="C11" s="14" t="s">
        <v>119</v>
      </c>
      <c r="D11" s="13" t="s">
        <v>120</v>
      </c>
      <c r="E11" s="13" t="s">
        <v>102</v>
      </c>
      <c r="F11" s="13" t="s">
        <v>89</v>
      </c>
      <c r="G11" s="17" t="s">
        <v>121</v>
      </c>
      <c r="H11" s="28"/>
    </row>
    <row r="12" spans="1:8" ht="36" customHeight="1">
      <c r="A12" s="13">
        <v>11</v>
      </c>
      <c r="B12" s="14" t="s">
        <v>122</v>
      </c>
      <c r="C12" s="14" t="s">
        <v>123</v>
      </c>
      <c r="D12" s="16" t="s">
        <v>124</v>
      </c>
      <c r="E12" s="13" t="s">
        <v>125</v>
      </c>
      <c r="F12" s="13" t="s">
        <v>89</v>
      </c>
      <c r="G12" s="15"/>
    </row>
    <row r="13" spans="1:8" ht="66">
      <c r="A13" s="13">
        <v>12</v>
      </c>
      <c r="B13" s="14" t="s">
        <v>126</v>
      </c>
      <c r="C13" s="14" t="s">
        <v>127</v>
      </c>
      <c r="D13" s="16" t="s">
        <v>102</v>
      </c>
      <c r="E13" s="13" t="s">
        <v>125</v>
      </c>
      <c r="F13" s="13" t="s">
        <v>89</v>
      </c>
      <c r="G13" s="17" t="s">
        <v>128</v>
      </c>
    </row>
    <row r="14" spans="1:8" ht="48.6" customHeight="1">
      <c r="A14" s="13">
        <v>13</v>
      </c>
      <c r="B14" s="14" t="s">
        <v>129</v>
      </c>
      <c r="C14" s="14" t="s">
        <v>130</v>
      </c>
      <c r="D14" s="16" t="s">
        <v>120</v>
      </c>
      <c r="E14" s="16" t="s">
        <v>88</v>
      </c>
      <c r="F14" s="13" t="s">
        <v>89</v>
      </c>
      <c r="G14" s="23" t="s">
        <v>131</v>
      </c>
    </row>
    <row r="15" spans="1:8" ht="39.6">
      <c r="A15" s="13">
        <v>14</v>
      </c>
      <c r="B15" s="14" t="s">
        <v>132</v>
      </c>
      <c r="C15" s="14" t="s">
        <v>133</v>
      </c>
      <c r="D15" s="16" t="s">
        <v>102</v>
      </c>
      <c r="E15" s="16" t="s">
        <v>102</v>
      </c>
      <c r="F15" s="16" t="s">
        <v>134</v>
      </c>
      <c r="G15" s="22" t="s">
        <v>135</v>
      </c>
    </row>
    <row r="16" spans="1:8" ht="104.45" customHeight="1">
      <c r="A16" s="13">
        <v>15</v>
      </c>
      <c r="B16" s="14" t="s">
        <v>136</v>
      </c>
      <c r="C16" s="14" t="s">
        <v>137</v>
      </c>
      <c r="D16" s="16" t="s">
        <v>138</v>
      </c>
      <c r="E16" s="16" t="s">
        <v>102</v>
      </c>
      <c r="F16" s="13" t="s">
        <v>89</v>
      </c>
      <c r="G16" s="21" t="s">
        <v>139</v>
      </c>
    </row>
    <row r="17" spans="1:7" ht="72" customHeight="1">
      <c r="A17" s="13">
        <v>16</v>
      </c>
      <c r="B17" s="14" t="s">
        <v>140</v>
      </c>
      <c r="C17" s="14" t="s">
        <v>141</v>
      </c>
      <c r="D17" s="16" t="s">
        <v>102</v>
      </c>
      <c r="E17" s="16" t="s">
        <v>102</v>
      </c>
      <c r="F17" s="13" t="s">
        <v>89</v>
      </c>
      <c r="G17" s="20" t="s">
        <v>142</v>
      </c>
    </row>
    <row r="18" spans="1:7" ht="57.6" customHeight="1">
      <c r="A18" s="13">
        <v>17</v>
      </c>
      <c r="B18" s="14" t="s">
        <v>143</v>
      </c>
      <c r="C18" s="14" t="s">
        <v>144</v>
      </c>
      <c r="D18" s="13"/>
      <c r="E18" s="13" t="s">
        <v>102</v>
      </c>
      <c r="F18" s="13" t="s">
        <v>89</v>
      </c>
      <c r="G18" s="21" t="s">
        <v>145</v>
      </c>
    </row>
    <row r="19" spans="1:7" ht="52.9">
      <c r="A19" s="13">
        <v>18</v>
      </c>
      <c r="B19" s="14" t="s">
        <v>146</v>
      </c>
      <c r="C19" s="14" t="s">
        <v>147</v>
      </c>
      <c r="D19" s="16" t="s">
        <v>148</v>
      </c>
      <c r="E19" s="13" t="s">
        <v>125</v>
      </c>
      <c r="F19" s="13" t="s">
        <v>89</v>
      </c>
      <c r="G19" s="15"/>
    </row>
    <row r="20" spans="1:7" ht="79.150000000000006">
      <c r="A20" s="13">
        <v>19</v>
      </c>
      <c r="B20" s="14" t="s">
        <v>149</v>
      </c>
      <c r="C20" s="14" t="s">
        <v>150</v>
      </c>
      <c r="D20" s="13" t="s">
        <v>151</v>
      </c>
      <c r="E20" s="13" t="s">
        <v>102</v>
      </c>
      <c r="F20" s="16" t="s">
        <v>152</v>
      </c>
      <c r="G20" s="20" t="s">
        <v>153</v>
      </c>
    </row>
    <row r="21" spans="1:7" ht="56.45" customHeight="1">
      <c r="A21" s="13">
        <v>20</v>
      </c>
      <c r="B21" s="14" t="s">
        <v>154</v>
      </c>
      <c r="C21" s="14" t="s">
        <v>155</v>
      </c>
      <c r="D21" s="13" t="s">
        <v>151</v>
      </c>
      <c r="E21" s="13" t="s">
        <v>102</v>
      </c>
      <c r="F21" s="16" t="s">
        <v>152</v>
      </c>
      <c r="G21" s="20" t="s">
        <v>153</v>
      </c>
    </row>
    <row r="22" spans="1:7">
      <c r="A22" s="3"/>
      <c r="B22" s="18"/>
    </row>
    <row r="23" spans="1:7">
      <c r="A23" s="1" t="s">
        <v>156</v>
      </c>
      <c r="B23" s="24" t="s">
        <v>157</v>
      </c>
    </row>
  </sheetData>
  <pageMargins left="0.7" right="0.7" top="0.75" bottom="0.75" header="0.3" footer="0.3"/>
  <pageSetup orientation="portrait" r:id="rId1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4AF9-D1A5-4CDB-985B-29604184EBCD}">
  <dimension ref="A2:G10"/>
  <sheetViews>
    <sheetView zoomScale="90" zoomScaleNormal="90" workbookViewId="0">
      <selection activeCell="G16" sqref="G16"/>
    </sheetView>
  </sheetViews>
  <sheetFormatPr defaultColWidth="8.85546875" defaultRowHeight="13.15"/>
  <cols>
    <col min="1" max="1" width="8.5703125" style="1" bestFit="1" customWidth="1"/>
    <col min="2" max="2" width="29.85546875" style="19" customWidth="1"/>
    <col min="3" max="3" width="60.28515625" style="4" customWidth="1"/>
    <col min="4" max="4" width="21.85546875" style="3" bestFit="1" customWidth="1"/>
    <col min="5" max="5" width="17.5703125" style="3" bestFit="1" customWidth="1"/>
    <col min="6" max="6" width="29.28515625" style="3" bestFit="1" customWidth="1"/>
    <col min="7" max="7" width="49.42578125" style="2" bestFit="1" customWidth="1"/>
    <col min="8" max="16384" width="8.85546875" style="2"/>
  </cols>
  <sheetData>
    <row r="2" spans="1:7" ht="36" customHeight="1">
      <c r="A2" s="10" t="s">
        <v>78</v>
      </c>
      <c r="B2" s="11" t="s">
        <v>79</v>
      </c>
      <c r="C2" s="11" t="s">
        <v>80</v>
      </c>
      <c r="D2" s="10" t="s">
        <v>81</v>
      </c>
      <c r="E2" s="10" t="s">
        <v>82</v>
      </c>
      <c r="F2" s="10" t="s">
        <v>83</v>
      </c>
      <c r="G2" s="12" t="s">
        <v>84</v>
      </c>
    </row>
    <row r="3" spans="1:7" ht="42.6" customHeight="1">
      <c r="A3" s="16">
        <v>1</v>
      </c>
      <c r="B3" s="14" t="s">
        <v>158</v>
      </c>
      <c r="C3" s="14" t="s">
        <v>159</v>
      </c>
      <c r="D3" s="16" t="s">
        <v>160</v>
      </c>
      <c r="E3" s="13" t="s">
        <v>88</v>
      </c>
      <c r="F3" s="13" t="s">
        <v>89</v>
      </c>
      <c r="G3" s="26" t="s">
        <v>161</v>
      </c>
    </row>
    <row r="4" spans="1:7" ht="184.15" customHeight="1">
      <c r="A4" s="13">
        <v>2</v>
      </c>
      <c r="B4" s="14" t="s">
        <v>162</v>
      </c>
      <c r="C4" s="14" t="s">
        <v>163</v>
      </c>
      <c r="D4" s="16" t="s">
        <v>164</v>
      </c>
      <c r="E4" s="13" t="s">
        <v>88</v>
      </c>
      <c r="F4" s="13" t="s">
        <v>89</v>
      </c>
      <c r="G4" s="17" t="s">
        <v>165</v>
      </c>
    </row>
    <row r="5" spans="1:7" ht="123" customHeight="1">
      <c r="A5" s="13">
        <v>3</v>
      </c>
      <c r="B5" s="14" t="s">
        <v>166</v>
      </c>
      <c r="C5" s="14" t="s">
        <v>167</v>
      </c>
      <c r="D5" s="13" t="s">
        <v>102</v>
      </c>
      <c r="E5" s="13" t="s">
        <v>102</v>
      </c>
      <c r="F5" s="13" t="s">
        <v>168</v>
      </c>
      <c r="G5" s="27" t="s">
        <v>169</v>
      </c>
    </row>
    <row r="6" spans="1:7" ht="72.599999999999994" customHeight="1">
      <c r="A6" s="13">
        <v>4</v>
      </c>
      <c r="B6" s="14" t="s">
        <v>170</v>
      </c>
      <c r="C6" s="14" t="s">
        <v>171</v>
      </c>
      <c r="D6" s="13" t="s">
        <v>102</v>
      </c>
      <c r="E6" s="13" t="s">
        <v>102</v>
      </c>
      <c r="F6" s="13" t="s">
        <v>168</v>
      </c>
      <c r="G6" s="27" t="s">
        <v>172</v>
      </c>
    </row>
    <row r="7" spans="1:7" ht="72.599999999999994" customHeight="1">
      <c r="A7" s="13">
        <v>5</v>
      </c>
      <c r="B7" s="14" t="s">
        <v>170</v>
      </c>
      <c r="C7" s="14" t="s">
        <v>173</v>
      </c>
      <c r="D7" s="13" t="s">
        <v>102</v>
      </c>
      <c r="E7" s="13" t="s">
        <v>102</v>
      </c>
      <c r="F7" s="13" t="s">
        <v>168</v>
      </c>
      <c r="G7" s="23" t="s">
        <v>174</v>
      </c>
    </row>
    <row r="8" spans="1:7" ht="72.599999999999994" customHeight="1">
      <c r="A8" s="13">
        <v>6</v>
      </c>
      <c r="B8" s="14" t="s">
        <v>175</v>
      </c>
      <c r="C8" s="14" t="s">
        <v>176</v>
      </c>
      <c r="D8" s="13" t="s">
        <v>102</v>
      </c>
      <c r="E8" s="13" t="s">
        <v>102</v>
      </c>
      <c r="F8" s="13" t="s">
        <v>177</v>
      </c>
      <c r="G8" s="20" t="s">
        <v>178</v>
      </c>
    </row>
    <row r="9" spans="1:7" ht="72" customHeight="1">
      <c r="A9" s="13">
        <v>7</v>
      </c>
      <c r="B9" s="14" t="s">
        <v>140</v>
      </c>
      <c r="C9" s="14" t="s">
        <v>179</v>
      </c>
      <c r="D9" s="16" t="s">
        <v>102</v>
      </c>
      <c r="E9" s="16" t="s">
        <v>102</v>
      </c>
      <c r="F9" s="13" t="s">
        <v>89</v>
      </c>
      <c r="G9" s="20" t="s">
        <v>180</v>
      </c>
    </row>
    <row r="10" spans="1:7" ht="49.15" customHeight="1">
      <c r="A10" s="13">
        <v>8</v>
      </c>
      <c r="B10" s="14" t="s">
        <v>143</v>
      </c>
      <c r="C10" s="14" t="s">
        <v>181</v>
      </c>
      <c r="D10" s="13" t="s">
        <v>102</v>
      </c>
      <c r="E10" s="13" t="s">
        <v>102</v>
      </c>
      <c r="F10" s="13" t="s">
        <v>89</v>
      </c>
      <c r="G10" s="21" t="s">
        <v>182</v>
      </c>
    </row>
  </sheetData>
  <pageMargins left="0.7" right="0.7" top="0.75" bottom="0.75" header="0.3" footer="0.3"/>
  <pageSetup orientation="portrait" r:id="rId1"/>
  <headerFooter>
    <oddHeader>&amp;L&amp;"Arial"&amp;8&amp;K000000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5593-2674-4AA7-91B3-7CF55816D081}">
  <dimension ref="A1:J13"/>
  <sheetViews>
    <sheetView zoomScale="120" zoomScaleNormal="120" workbookViewId="0">
      <selection activeCell="J10" sqref="J10"/>
    </sheetView>
  </sheetViews>
  <sheetFormatPr defaultRowHeight="14.45"/>
  <cols>
    <col min="1" max="1" width="11.140625" bestFit="1" customWidth="1"/>
    <col min="2" max="2" width="17.85546875" bestFit="1" customWidth="1"/>
    <col min="3" max="3" width="10.28515625" bestFit="1" customWidth="1"/>
    <col min="4" max="8" width="10.42578125" bestFit="1" customWidth="1"/>
    <col min="9" max="9" width="11.42578125" bestFit="1" customWidth="1"/>
  </cols>
  <sheetData>
    <row r="1" spans="1:10">
      <c r="B1" s="44"/>
      <c r="C1" s="44"/>
      <c r="D1" s="93" t="s">
        <v>183</v>
      </c>
      <c r="E1" s="93"/>
      <c r="F1" s="93"/>
      <c r="G1" s="93"/>
      <c r="H1" s="93"/>
    </row>
    <row r="2" spans="1:10">
      <c r="B2" s="45" t="s">
        <v>184</v>
      </c>
      <c r="C2" s="44" t="s">
        <v>185</v>
      </c>
      <c r="D2" s="46" t="s">
        <v>186</v>
      </c>
      <c r="E2" s="46" t="s">
        <v>187</v>
      </c>
      <c r="F2" s="46" t="s">
        <v>188</v>
      </c>
      <c r="G2" s="46" t="s">
        <v>189</v>
      </c>
      <c r="H2" s="46" t="s">
        <v>190</v>
      </c>
      <c r="I2" s="47" t="s">
        <v>75</v>
      </c>
    </row>
    <row r="3" spans="1:10">
      <c r="B3" s="65" t="s">
        <v>191</v>
      </c>
      <c r="C3" s="59">
        <v>66375</v>
      </c>
      <c r="D3" s="48">
        <f>C3*12</f>
        <v>796500</v>
      </c>
      <c r="E3" s="49">
        <f>D3*1.1</f>
        <v>876150.00000000012</v>
      </c>
      <c r="F3" s="49">
        <f t="shared" ref="F3:H4" si="0">E3*1.1</f>
        <v>963765.00000000023</v>
      </c>
      <c r="G3" s="49">
        <f t="shared" si="0"/>
        <v>1060141.5000000002</v>
      </c>
      <c r="H3" s="49">
        <f t="shared" si="0"/>
        <v>1166155.6500000004</v>
      </c>
      <c r="I3" s="50">
        <f>SUM(D3:H3)</f>
        <v>4862712.1500000004</v>
      </c>
    </row>
    <row r="4" spans="1:10">
      <c r="B4" s="66" t="s">
        <v>192</v>
      </c>
      <c r="C4" s="59">
        <v>32000</v>
      </c>
      <c r="D4" s="48">
        <f>C4*12</f>
        <v>384000</v>
      </c>
      <c r="E4" s="49">
        <f>D4*1.1</f>
        <v>422400.00000000006</v>
      </c>
      <c r="F4" s="49">
        <f t="shared" si="0"/>
        <v>464640.00000000012</v>
      </c>
      <c r="G4" s="49">
        <f t="shared" si="0"/>
        <v>511104.00000000017</v>
      </c>
      <c r="H4" s="49">
        <f t="shared" si="0"/>
        <v>562214.40000000026</v>
      </c>
      <c r="I4" s="50">
        <f>SUM(D4:H4)</f>
        <v>2344358.4000000004</v>
      </c>
    </row>
    <row r="5" spans="1:10">
      <c r="B5" s="51" t="s">
        <v>193</v>
      </c>
      <c r="C5" s="60">
        <f>C3+C4</f>
        <v>98375</v>
      </c>
      <c r="D5" s="52">
        <f>D3+D4</f>
        <v>1180500</v>
      </c>
      <c r="E5" s="52">
        <f t="shared" ref="E5:I5" si="1">E3+E4</f>
        <v>1298550.0000000002</v>
      </c>
      <c r="F5" s="52">
        <f t="shared" si="1"/>
        <v>1428405.0000000005</v>
      </c>
      <c r="G5" s="52">
        <f t="shared" si="1"/>
        <v>1571245.5000000005</v>
      </c>
      <c r="H5" s="52">
        <f t="shared" si="1"/>
        <v>1728370.0500000007</v>
      </c>
      <c r="I5" s="50">
        <f t="shared" si="1"/>
        <v>7207070.5500000007</v>
      </c>
    </row>
    <row r="6" spans="1:10">
      <c r="B6" s="53" t="s">
        <v>194</v>
      </c>
      <c r="C6" s="61">
        <f>C5/100000</f>
        <v>0.98375000000000001</v>
      </c>
      <c r="D6" s="54">
        <f>D5/100000</f>
        <v>11.805</v>
      </c>
      <c r="E6" s="54">
        <f t="shared" ref="E6:I6" si="2">E5/100000</f>
        <v>12.985500000000002</v>
      </c>
      <c r="F6" s="54">
        <f t="shared" si="2"/>
        <v>14.284050000000004</v>
      </c>
      <c r="G6" s="54">
        <f t="shared" si="2"/>
        <v>15.712455000000004</v>
      </c>
      <c r="H6" s="54">
        <f t="shared" si="2"/>
        <v>17.283700500000009</v>
      </c>
      <c r="I6" s="55">
        <f t="shared" si="2"/>
        <v>72.070705500000003</v>
      </c>
    </row>
    <row r="7" spans="1:10">
      <c r="A7" t="s">
        <v>195</v>
      </c>
      <c r="D7" s="93" t="s">
        <v>196</v>
      </c>
      <c r="E7" s="93"/>
      <c r="F7" s="93"/>
      <c r="G7" s="93"/>
      <c r="H7" s="93"/>
    </row>
    <row r="8" spans="1:10">
      <c r="A8" s="56">
        <v>0.45</v>
      </c>
      <c r="B8" s="44" t="s">
        <v>197</v>
      </c>
      <c r="C8" s="59">
        <f>C5/$A$9</f>
        <v>178863.63636363635</v>
      </c>
      <c r="D8" s="48">
        <f>D5/$A$9</f>
        <v>2146363.6363636362</v>
      </c>
      <c r="E8" s="48">
        <f t="shared" ref="E8:I8" si="3">E5/$A$9</f>
        <v>2361000</v>
      </c>
      <c r="F8" s="48">
        <f t="shared" si="3"/>
        <v>2597100.0000000005</v>
      </c>
      <c r="G8" s="48">
        <f t="shared" si="3"/>
        <v>2856810.0000000005</v>
      </c>
      <c r="H8" s="48">
        <f t="shared" si="3"/>
        <v>3142491.0000000009</v>
      </c>
      <c r="I8" s="50">
        <f t="shared" si="3"/>
        <v>13103764.636363637</v>
      </c>
    </row>
    <row r="9" spans="1:10">
      <c r="A9" s="57">
        <f>100%-A8</f>
        <v>0.55000000000000004</v>
      </c>
      <c r="C9" s="61">
        <f>C8/100000</f>
        <v>1.7886363636363636</v>
      </c>
      <c r="D9" s="54">
        <f>D8/100000</f>
        <v>21.463636363636361</v>
      </c>
      <c r="E9" s="54">
        <f t="shared" ref="E9:I9" si="4">E8/100000</f>
        <v>23.61</v>
      </c>
      <c r="F9" s="54">
        <f t="shared" si="4"/>
        <v>25.971000000000004</v>
      </c>
      <c r="G9" s="54">
        <f t="shared" si="4"/>
        <v>28.568100000000005</v>
      </c>
      <c r="H9" s="54">
        <f t="shared" si="4"/>
        <v>31.424910000000008</v>
      </c>
      <c r="I9" s="55">
        <f t="shared" si="4"/>
        <v>131.03764636363636</v>
      </c>
    </row>
    <row r="10" spans="1:10">
      <c r="B10" s="62" t="s">
        <v>198</v>
      </c>
      <c r="C10" s="63">
        <f>C8/160</f>
        <v>1117.8977272727273</v>
      </c>
      <c r="I10" s="63">
        <f>I8/5/12/160</f>
        <v>1364.9754829545454</v>
      </c>
      <c r="J10" t="s">
        <v>95</v>
      </c>
    </row>
    <row r="11" spans="1:10">
      <c r="B11" s="64" t="s">
        <v>199</v>
      </c>
      <c r="C11" s="62">
        <v>1150</v>
      </c>
      <c r="I11" s="62">
        <v>1600</v>
      </c>
      <c r="J11">
        <f>I11*160</f>
        <v>256000</v>
      </c>
    </row>
    <row r="13" spans="1:10">
      <c r="B13" s="58"/>
    </row>
  </sheetData>
  <mergeCells count="2">
    <mergeCell ref="D1:H1"/>
    <mergeCell ref="D7:H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Volkswagen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Kalra, Rajesh (B/Z)</dc:creator>
  <cp:keywords/>
  <dc:description/>
  <cp:lastModifiedBy>Devika S Vinod</cp:lastModifiedBy>
  <cp:revision/>
  <dcterms:created xsi:type="dcterms:W3CDTF">2026-04-23T10:19:37Z</dcterms:created>
  <dcterms:modified xsi:type="dcterms:W3CDTF">2026-07-27T05:29:51Z</dcterms:modified>
  <cp:category/>
  <cp:contentStatus/>
</cp:coreProperties>
</file>