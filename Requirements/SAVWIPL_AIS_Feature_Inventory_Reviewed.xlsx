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516"/>
  <workbookPr/>
  <mc:AlternateContent xmlns:mc="http://schemas.openxmlformats.org/markup-compatibility/2006">
    <mc:Choice Requires="x15">
      <x15ac:absPath xmlns:x15ac="http://schemas.microsoft.com/office/spreadsheetml/2010/11/ac" url="https://itcubesolution-my.sharepoint.com/personal/abdullah_parkar_itcube_net/Documents/Skoda RFQ/Technnical &amp; Commercial Proposal/"/>
    </mc:Choice>
  </mc:AlternateContent>
  <xr:revisionPtr revIDLastSave="6" documentId="8_{0E4C028D-F7C6-4E65-988C-96F435315973}" xr6:coauthVersionLast="47" xr6:coauthVersionMax="47" xr10:uidLastSave="{A524A0FB-7252-49F4-8B3F-7D4A91D52DDF}"/>
  <bookViews>
    <workbookView xWindow="-120" yWindow="-120" windowWidth="29040" windowHeight="15720" tabRatio="920" firstSheet="5" xr2:uid="{00000000-000D-0000-FFFF-FFFF00000000}"/>
  </bookViews>
  <sheets>
    <sheet name="Feature Inventory" sheetId="1" r:id="rId1"/>
    <sheet name="Summary" sheetId="2" r:id="rId2"/>
    <sheet name="Legend" sheetId="3" r:id="rId3"/>
    <sheet name="Review Summary" sheetId="4" r:id="rId4"/>
    <sheet name="Feature Estimate Review" sheetId="5" r:id="rId5"/>
    <sheet name="Coverage Gaps" sheetId="6" r:id="rId6"/>
    <sheet name="Estimate Assumptions" sheetId="7" r:id="rId7"/>
  </sheets>
  <calcPr calcId="191028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J151" i="5" l="1"/>
  <c r="I151" i="5"/>
  <c r="J150" i="5"/>
  <c r="I150" i="5"/>
  <c r="J149" i="5"/>
  <c r="I149" i="5"/>
  <c r="J148" i="5"/>
  <c r="I148" i="5"/>
  <c r="J147" i="5"/>
  <c r="I147" i="5"/>
  <c r="J146" i="5"/>
  <c r="I146" i="5"/>
  <c r="J145" i="5"/>
  <c r="I145" i="5"/>
  <c r="J144" i="5"/>
  <c r="I144" i="5"/>
  <c r="J143" i="5"/>
  <c r="I143" i="5"/>
  <c r="J142" i="5"/>
  <c r="I142" i="5"/>
  <c r="J141" i="5"/>
  <c r="I141" i="5"/>
  <c r="J140" i="5"/>
  <c r="I140" i="5"/>
  <c r="J139" i="5"/>
  <c r="I139" i="5"/>
  <c r="J138" i="5"/>
  <c r="I138" i="5"/>
  <c r="J137" i="5"/>
  <c r="I137" i="5"/>
  <c r="J136" i="5"/>
  <c r="I136" i="5"/>
  <c r="J135" i="5"/>
  <c r="I135" i="5"/>
  <c r="J134" i="5"/>
  <c r="I134" i="5"/>
  <c r="J133" i="5"/>
  <c r="I133" i="5"/>
  <c r="J132" i="5"/>
  <c r="I132" i="5"/>
  <c r="J131" i="5"/>
  <c r="I131" i="5"/>
  <c r="J130" i="5"/>
  <c r="I130" i="5"/>
  <c r="J129" i="5"/>
  <c r="I129" i="5"/>
  <c r="J128" i="5"/>
  <c r="I128" i="5"/>
  <c r="J127" i="5"/>
  <c r="I127" i="5"/>
  <c r="J126" i="5"/>
  <c r="I126" i="5"/>
  <c r="J125" i="5"/>
  <c r="I125" i="5"/>
  <c r="J124" i="5"/>
  <c r="I124" i="5"/>
  <c r="J123" i="5"/>
  <c r="I123" i="5"/>
  <c r="J122" i="5"/>
  <c r="I122" i="5"/>
  <c r="J121" i="5"/>
  <c r="I121" i="5"/>
  <c r="J120" i="5"/>
  <c r="I120" i="5"/>
  <c r="J119" i="5"/>
  <c r="I119" i="5"/>
  <c r="J118" i="5"/>
  <c r="I118" i="5"/>
  <c r="J117" i="5"/>
  <c r="I117" i="5"/>
  <c r="J116" i="5"/>
  <c r="I116" i="5"/>
  <c r="J115" i="5"/>
  <c r="I115" i="5"/>
  <c r="J114" i="5"/>
  <c r="I114" i="5"/>
  <c r="J113" i="5"/>
  <c r="I113" i="5"/>
  <c r="J112" i="5"/>
  <c r="I112" i="5"/>
  <c r="J111" i="5"/>
  <c r="I111" i="5"/>
  <c r="J110" i="5"/>
  <c r="I110" i="5"/>
  <c r="J109" i="5"/>
  <c r="I109" i="5"/>
  <c r="J108" i="5"/>
  <c r="I108" i="5"/>
  <c r="J107" i="5"/>
  <c r="I107" i="5"/>
  <c r="J106" i="5"/>
  <c r="I106" i="5"/>
  <c r="J105" i="5"/>
  <c r="I105" i="5"/>
  <c r="J104" i="5"/>
  <c r="I104" i="5"/>
  <c r="J103" i="5"/>
  <c r="I103" i="5"/>
  <c r="J102" i="5"/>
  <c r="I102" i="5"/>
  <c r="J101" i="5"/>
  <c r="I101" i="5"/>
  <c r="J100" i="5"/>
  <c r="I100" i="5"/>
  <c r="J99" i="5"/>
  <c r="I99" i="5"/>
  <c r="J98" i="5"/>
  <c r="I98" i="5"/>
  <c r="J97" i="5"/>
  <c r="I97" i="5"/>
  <c r="J96" i="5"/>
  <c r="I96" i="5"/>
  <c r="J95" i="5"/>
  <c r="I95" i="5"/>
  <c r="J94" i="5"/>
  <c r="I94" i="5"/>
  <c r="J93" i="5"/>
  <c r="I93" i="5"/>
  <c r="J92" i="5"/>
  <c r="I92" i="5"/>
  <c r="J91" i="5"/>
  <c r="I91" i="5"/>
  <c r="J90" i="5"/>
  <c r="I90" i="5"/>
  <c r="J89" i="5"/>
  <c r="I89" i="5"/>
  <c r="J88" i="5"/>
  <c r="I88" i="5"/>
  <c r="J87" i="5"/>
  <c r="I87" i="5"/>
  <c r="J86" i="5"/>
  <c r="I86" i="5"/>
  <c r="J85" i="5"/>
  <c r="I85" i="5"/>
  <c r="J84" i="5"/>
  <c r="I84" i="5"/>
  <c r="J83" i="5"/>
  <c r="I83" i="5"/>
  <c r="J82" i="5"/>
  <c r="I82" i="5"/>
  <c r="J81" i="5"/>
  <c r="I81" i="5"/>
  <c r="J80" i="5"/>
  <c r="I80" i="5"/>
  <c r="J79" i="5"/>
  <c r="I79" i="5"/>
  <c r="J78" i="5"/>
  <c r="I78" i="5"/>
  <c r="J77" i="5"/>
  <c r="I77" i="5"/>
  <c r="J76" i="5"/>
  <c r="I76" i="5"/>
  <c r="J75" i="5"/>
  <c r="I75" i="5"/>
  <c r="J74" i="5"/>
  <c r="I74" i="5"/>
  <c r="J73" i="5"/>
  <c r="I73" i="5"/>
  <c r="J72" i="5"/>
  <c r="I72" i="5"/>
  <c r="J71" i="5"/>
  <c r="I71" i="5"/>
  <c r="J70" i="5"/>
  <c r="I70" i="5"/>
  <c r="J69" i="5"/>
  <c r="I69" i="5"/>
  <c r="J68" i="5"/>
  <c r="I68" i="5"/>
  <c r="J67" i="5"/>
  <c r="I67" i="5"/>
  <c r="J66" i="5"/>
  <c r="I66" i="5"/>
  <c r="J65" i="5"/>
  <c r="I65" i="5"/>
  <c r="J64" i="5"/>
  <c r="I64" i="5"/>
  <c r="J63" i="5"/>
  <c r="I63" i="5"/>
  <c r="J62" i="5"/>
  <c r="I62" i="5"/>
  <c r="J61" i="5"/>
  <c r="I61" i="5"/>
  <c r="J60" i="5"/>
  <c r="I60" i="5"/>
  <c r="J59" i="5"/>
  <c r="I59" i="5"/>
  <c r="J58" i="5"/>
  <c r="I58" i="5"/>
  <c r="J57" i="5"/>
  <c r="I57" i="5"/>
  <c r="J56" i="5"/>
  <c r="I56" i="5"/>
  <c r="J55" i="5"/>
  <c r="I55" i="5"/>
  <c r="J54" i="5"/>
  <c r="I54" i="5"/>
  <c r="J53" i="5"/>
  <c r="I53" i="5"/>
  <c r="J52" i="5"/>
  <c r="I52" i="5"/>
  <c r="J51" i="5"/>
  <c r="I51" i="5"/>
  <c r="J50" i="5"/>
  <c r="I50" i="5"/>
  <c r="J49" i="5"/>
  <c r="I49" i="5"/>
  <c r="J48" i="5"/>
  <c r="I48" i="5"/>
  <c r="J47" i="5"/>
  <c r="I47" i="5"/>
  <c r="J46" i="5"/>
  <c r="I46" i="5"/>
  <c r="J45" i="5"/>
  <c r="I45" i="5"/>
  <c r="J44" i="5"/>
  <c r="I44" i="5"/>
  <c r="J43" i="5"/>
  <c r="I43" i="5"/>
  <c r="J42" i="5"/>
  <c r="I42" i="5"/>
  <c r="J41" i="5"/>
  <c r="I41" i="5"/>
  <c r="J40" i="5"/>
  <c r="I40" i="5"/>
  <c r="J39" i="5"/>
  <c r="I39" i="5"/>
  <c r="J38" i="5"/>
  <c r="I38" i="5"/>
  <c r="J37" i="5"/>
  <c r="I37" i="5"/>
  <c r="J36" i="5"/>
  <c r="I36" i="5"/>
  <c r="J35" i="5"/>
  <c r="I35" i="5"/>
  <c r="J34" i="5"/>
  <c r="I34" i="5"/>
  <c r="J33" i="5"/>
  <c r="I33" i="5"/>
  <c r="J32" i="5"/>
  <c r="I32" i="5"/>
  <c r="J31" i="5"/>
  <c r="I31" i="5"/>
  <c r="J30" i="5"/>
  <c r="I30" i="5"/>
  <c r="J29" i="5"/>
  <c r="I29" i="5"/>
  <c r="J28" i="5"/>
  <c r="I28" i="5"/>
  <c r="J27" i="5"/>
  <c r="I27" i="5"/>
  <c r="J26" i="5"/>
  <c r="I26" i="5"/>
  <c r="J25" i="5"/>
  <c r="I25" i="5"/>
  <c r="J24" i="5"/>
  <c r="I24" i="5"/>
  <c r="J23" i="5"/>
  <c r="I23" i="5"/>
  <c r="J22" i="5"/>
  <c r="I22" i="5"/>
  <c r="J21" i="5"/>
  <c r="I21" i="5"/>
  <c r="J20" i="5"/>
  <c r="I20" i="5"/>
  <c r="J19" i="5"/>
  <c r="I19" i="5"/>
  <c r="J18" i="5"/>
  <c r="I18" i="5"/>
  <c r="J17" i="5"/>
  <c r="I17" i="5"/>
  <c r="J16" i="5"/>
  <c r="I16" i="5"/>
  <c r="J15" i="5"/>
  <c r="I15" i="5"/>
  <c r="J14" i="5"/>
  <c r="I14" i="5"/>
  <c r="J13" i="5"/>
  <c r="I13" i="5"/>
  <c r="J12" i="5"/>
  <c r="I12" i="5"/>
  <c r="J11" i="5"/>
  <c r="I11" i="5"/>
  <c r="J10" i="5"/>
  <c r="I10" i="5"/>
  <c r="J9" i="5"/>
  <c r="I9" i="5"/>
  <c r="J8" i="5"/>
  <c r="I8" i="5"/>
  <c r="J7" i="5"/>
  <c r="I7" i="5"/>
  <c r="J6" i="5"/>
  <c r="I6" i="5"/>
  <c r="J5" i="5"/>
  <c r="I5" i="5"/>
  <c r="J4" i="5"/>
  <c r="I4" i="5"/>
  <c r="J3" i="5"/>
  <c r="I3" i="5"/>
  <c r="J2" i="5"/>
  <c r="I2" i="5"/>
  <c r="D7" i="2"/>
  <c r="C7" i="2"/>
  <c r="M6" i="2"/>
  <c r="L6" i="2"/>
  <c r="K6" i="2"/>
  <c r="J6" i="2"/>
  <c r="I6" i="2"/>
  <c r="H6" i="2"/>
  <c r="G6" i="2"/>
  <c r="F6" i="2"/>
  <c r="E6" i="2"/>
  <c r="B6" i="2"/>
  <c r="M5" i="2"/>
  <c r="L5" i="2"/>
  <c r="K5" i="2"/>
  <c r="J5" i="2"/>
  <c r="I5" i="2"/>
  <c r="H5" i="2"/>
  <c r="G5" i="2"/>
  <c r="F5" i="2"/>
  <c r="E5" i="2"/>
  <c r="B5" i="2"/>
  <c r="M4" i="2"/>
  <c r="L4" i="2"/>
  <c r="K4" i="2"/>
  <c r="J4" i="2"/>
  <c r="I4" i="2"/>
  <c r="H4" i="2"/>
  <c r="G4" i="2"/>
  <c r="F4" i="2"/>
  <c r="E4" i="2"/>
  <c r="B4" i="2"/>
  <c r="M3" i="2"/>
  <c r="L3" i="2"/>
  <c r="K3" i="2"/>
  <c r="J3" i="2"/>
  <c r="I3" i="2"/>
  <c r="H3" i="2"/>
  <c r="G3" i="2"/>
  <c r="F3" i="2"/>
  <c r="E3" i="2"/>
  <c r="B3" i="2"/>
  <c r="M2" i="2"/>
  <c r="M7" i="2" s="1"/>
  <c r="L2" i="2"/>
  <c r="L7" i="2" s="1"/>
  <c r="K2" i="2"/>
  <c r="K7" i="2" s="1"/>
  <c r="J2" i="2"/>
  <c r="J7" i="2" s="1"/>
  <c r="I2" i="2"/>
  <c r="I7" i="2" s="1"/>
  <c r="H2" i="2"/>
  <c r="H7" i="2" s="1"/>
  <c r="G2" i="2"/>
  <c r="G7" i="2" s="1"/>
  <c r="F2" i="2"/>
  <c r="F7" i="2" s="1"/>
  <c r="E2" i="2"/>
  <c r="E7" i="2" s="1"/>
  <c r="B2" i="2"/>
  <c r="B7" i="2" s="1"/>
  <c r="L152" i="1"/>
  <c r="K152" i="1"/>
  <c r="J152" i="1"/>
</calcChain>
</file>

<file path=xl/sharedStrings.xml><?xml version="1.0" encoding="utf-8"?>
<sst xmlns="http://schemas.openxmlformats.org/spreadsheetml/2006/main" count="3507" uniqueCount="893">
  <si>
    <t>Feature ID</t>
  </si>
  <si>
    <t>Module</t>
  </si>
  <si>
    <t>Stage</t>
  </si>
  <si>
    <t>Feature</t>
  </si>
  <si>
    <t>What It Does</t>
  </si>
  <si>
    <t>Phase</t>
  </si>
  <si>
    <t>Priority (MoSCoW)</t>
  </si>
  <si>
    <t>Complexity (S/M/L)</t>
  </si>
  <si>
    <t>Effort Estimate (Person-Days)</t>
  </si>
  <si>
    <t>Effort Estimate (Person-Hours)</t>
  </si>
  <si>
    <t>Effort Estimate w/ Claude AI Assistance (Person-Days)</t>
  </si>
  <si>
    <t>Effort Estimate w/ Claude AI Assistance (Person-Hours)</t>
  </si>
  <si>
    <t xml:space="preserve"> Notes</t>
  </si>
  <si>
    <t>Authentication &amp; Authorization</t>
  </si>
  <si>
    <t>Login, AD authentication and User access matrix</t>
  </si>
  <si>
    <t>S</t>
  </si>
  <si>
    <t>Notification Module</t>
  </si>
  <si>
    <t>Email notification, In App notification</t>
  </si>
  <si>
    <t>L</t>
  </si>
  <si>
    <t>F-001</t>
  </si>
  <si>
    <t>Module 1 - Procurement</t>
  </si>
  <si>
    <t>Define &amp; Plan</t>
  </si>
  <si>
    <t>Create Project</t>
  </si>
  <si>
    <t>Register a new vehicle programme / project so downstream parts, suppliers and cost records have somewhere to attach.</t>
  </si>
  <si>
    <t>1</t>
  </si>
  <si>
    <t>Must</t>
  </si>
  <si>
    <t>M</t>
  </si>
  <si>
    <t>F-002</t>
  </si>
  <si>
    <t>Upload BOM &amp; Part List</t>
  </si>
  <si>
    <t>Bulk-load the parts list and BOM lines for a project ahead of sourcing.</t>
  </si>
  <si>
    <t>F-003</t>
  </si>
  <si>
    <t>Maintain Master Data (Project, Part, Supplier, Commodity, FX)</t>
  </si>
  <si>
    <t>Single screen/entry point for all core masters used across the platform.</t>
  </si>
  <si>
    <t>F-004</t>
  </si>
  <si>
    <t>Define Commodity &amp; Exchange Rate</t>
  </si>
  <si>
    <t>Set up commodity items and FX rates that CBD and pricing calculations will reference.</t>
  </si>
  <si>
    <t>F-005</t>
  </si>
  <si>
    <t>Define Milestones &amp; Targets</t>
  </si>
  <si>
    <t>Set the project-level milestone plan (dates/targets) that SRM and Technical Change later track against.</t>
  </si>
  <si>
    <t>F-006</t>
  </si>
  <si>
    <t>Source &amp; Nominate</t>
  </si>
  <si>
    <t>Import Sourcing Report (EBON+)</t>
  </si>
  <si>
    <t>Ingest the Sourcing Report (Excel, 85 columns) for decided sourcing at defined intervals; system parses and updates the database.</t>
  </si>
  <si>
    <t>F-007</t>
  </si>
  <si>
    <t>RFQ Management</t>
  </si>
  <si>
    <t>Track Request-for-Quotation issuance to shortlisted suppliers.</t>
  </si>
  <si>
    <t>Should</t>
  </si>
  <si>
    <t>F-008</t>
  </si>
  <si>
    <t>Supplier Quotations</t>
  </si>
  <si>
    <t>Capture supplier-submitted quotes against an RFQ.</t>
  </si>
  <si>
    <t>F-009</t>
  </si>
  <si>
    <t>Supplier Comparison</t>
  </si>
  <si>
    <t>Side-by-side comparison view of competing supplier quotes.</t>
  </si>
  <si>
    <t>F-010</t>
  </si>
  <si>
    <t>Supplier Nomination</t>
  </si>
  <si>
    <t>Formally nominate the winning supplier for a part.</t>
  </si>
  <si>
    <t>F-011</t>
  </si>
  <si>
    <t>Commercial Negotiation</t>
  </si>
  <si>
    <t>Record negotiation rounds and final agreed terms before CBD lock.</t>
  </si>
  <si>
    <t>F-012</t>
  </si>
  <si>
    <t>Commercial Management</t>
  </si>
  <si>
    <t>Cost Breakdown (CBD)</t>
  </si>
  <si>
    <t>Capture the full cost structure per part: quantity/car, weights (Steel/Alu/Cu/Pb/Precious, gross+net), import content &amp; FX, VSI, Target, D&amp;D amortisation.</t>
  </si>
  <si>
    <t>F-013</t>
  </si>
  <si>
    <t>Price Tracking &amp; History</t>
  </si>
  <si>
    <t>Maintain full price version history per part — no silent overwrites.</t>
  </si>
  <si>
    <t>F-014</t>
  </si>
  <si>
    <t>Investment Cost</t>
  </si>
  <si>
    <t>Track tooling/CAPEX cost per part, linked to Tooling Master.</t>
  </si>
  <si>
    <t>F-015</t>
  </si>
  <si>
    <t>Tooling Cost</t>
  </si>
  <si>
    <t>Capture supplier CAPEX and cost amortisation for tooling.</t>
  </si>
  <si>
    <t>F-016</t>
  </si>
  <si>
    <t>Commodity Prices</t>
  </si>
  <si>
    <t>Maintain live commodity rates feeding automatic price recalculation.</t>
  </si>
  <si>
    <t>F-017</t>
  </si>
  <si>
    <t>Forex Impact</t>
  </si>
  <si>
    <t>Capture FX exposure and rate effective dates per project/sourcing.</t>
  </si>
  <si>
    <t>F-018</t>
  </si>
  <si>
    <t>Target Cost</t>
  </si>
  <si>
    <t>Record the original target cost (VSI Target) per part for variance tracking.</t>
  </si>
  <si>
    <t>F-019</t>
  </si>
  <si>
    <t>Business Share Allocation</t>
  </si>
  <si>
    <t>Track supplier's share of total part volume/business.</t>
  </si>
  <si>
    <t>F-020</t>
  </si>
  <si>
    <t>BOM Cost Rollup</t>
  </si>
  <si>
    <t>Aggregate part-level costs up to car/BOM level for total material cost.</t>
  </si>
  <si>
    <t>F-021</t>
  </si>
  <si>
    <t>Approve &amp; Execute</t>
  </si>
  <si>
    <t>Commercial Approval</t>
  </si>
  <si>
    <t>Approve negotiated price/CBD before it becomes active.</t>
  </si>
  <si>
    <t>F-022</t>
  </si>
  <si>
    <t>Commodity Approval</t>
  </si>
  <si>
    <t>Approve commodity price updates before they feed automatic recalculation.</t>
  </si>
  <si>
    <t>F-023</t>
  </si>
  <si>
    <t>Management Approval</t>
  </si>
  <si>
    <t>Escalation-level approval for high-value or high-risk changes.</t>
  </si>
  <si>
    <t>F-024</t>
  </si>
  <si>
    <t>PO Creation</t>
  </si>
  <si>
    <t>Generate or update Purchase Orders (EBON) from approved commercial terms.</t>
  </si>
  <si>
    <t>F-025</t>
  </si>
  <si>
    <t>PO Tracking</t>
  </si>
  <si>
    <t>Track PO status from creation through supplier acknowledgement.</t>
  </si>
  <si>
    <t>F-026</t>
  </si>
  <si>
    <t>Notifications &amp; Alerts</t>
  </si>
  <si>
    <t>Notify users of pending actions — as both email and an in-app task.</t>
  </si>
  <si>
    <t>F-027</t>
  </si>
  <si>
    <t>Escalations</t>
  </si>
  <si>
    <t>Escalate overdue approvals/actions per the defined ladder.</t>
  </si>
  <si>
    <t>F-028</t>
  </si>
  <si>
    <t>Audit Trail</t>
  </si>
  <si>
    <t>Full change/approval history retained against every workflow number.</t>
  </si>
  <si>
    <t>F-029</t>
  </si>
  <si>
    <t>Analyse &amp; Optimise</t>
  </si>
  <si>
    <t>Material Cost Dashboard</t>
  </si>
  <si>
    <t>Cost walk (BG vs FC) with Procurement and Finance/Controlling views, brand-aware across all 6 VW Group brands.</t>
  </si>
  <si>
    <t>F-030</t>
  </si>
  <si>
    <t>Investment Dashboard</t>
  </si>
  <si>
    <t>Tooling/CAPEX cost visibility across active projects.</t>
  </si>
  <si>
    <t>F-031</t>
  </si>
  <si>
    <t>Benchmarking Dashboard</t>
  </si>
  <si>
    <t>Compare cost/investment data against uploaded external/other-project benchmarks.</t>
  </si>
  <si>
    <t>F-032</t>
  </si>
  <si>
    <t>AI Chatbot (Q&amp;A)</t>
  </si>
  <si>
    <t>Natural-language query for Material Cost and Tooling/Readiness, at Part or Car level, text + graphical.</t>
  </si>
  <si>
    <t>F-033</t>
  </si>
  <si>
    <t>Commodity Forecasting</t>
  </si>
  <si>
    <t>Directional forecast for commodity/forex risk and savings potential (steel specifically called out).</t>
  </si>
  <si>
    <t>3</t>
  </si>
  <si>
    <t>F-034</t>
  </si>
  <si>
    <t>Cost Saving Opportunities</t>
  </si>
  <si>
    <t>AI-surfaced savings opportunities from price/commodity trend analysis.</t>
  </si>
  <si>
    <t>Could</t>
  </si>
  <si>
    <t>F-035</t>
  </si>
  <si>
    <t>Automated Reports (PPT/PDF/Excel)</t>
  </si>
  <si>
    <t>Generate the Material Cost Review and other reports from live data on demand.</t>
  </si>
  <si>
    <t>F-036</t>
  </si>
  <si>
    <t>Executive Summary</t>
  </si>
  <si>
    <t>One-page management rollup view across cost, savings, and risk.</t>
  </si>
  <si>
    <t>F-037</t>
  </si>
  <si>
    <t>Procurement Orders</t>
  </si>
  <si>
    <t>General</t>
  </si>
  <si>
    <t>Component-Level Hierarchy Mapping</t>
  </si>
  <si>
    <t>Map every requirement to Car → Plant → Model/Variant → System → Assembly → Component Level.</t>
  </si>
  <si>
    <t>F-038</t>
  </si>
  <si>
    <t>Requirement-Raising Workflow</t>
  </si>
  <si>
    <t>Raise a new requirement linked to an existing Part/Tool master, or flag as new-part-pending-creation.</t>
  </si>
  <si>
    <t>F-039</t>
  </si>
  <si>
    <t>Fulfilment Status Tracker</t>
  </si>
  <si>
    <t>Track requirement status: raised → technical review → sourcing → PO release → production → delivery.</t>
  </si>
  <si>
    <t>F-040</t>
  </si>
  <si>
    <t>Cross-Module Linking</t>
  </si>
  <si>
    <t>Link a requirement to its related Change Request and/or SRM milestone.</t>
  </si>
  <si>
    <t>F-041</t>
  </si>
  <si>
    <t>Module 2 - Technical Change</t>
  </si>
  <si>
    <t>Change Initiation</t>
  </si>
  <si>
    <t>Create Change (AEKO / AWE / AeA / Running Change / MY Change / Supplier Proposal)</t>
  </si>
  <si>
    <t>Raise a new technical change of any recognised type.</t>
  </si>
  <si>
    <t>2</t>
  </si>
  <si>
    <t>F-042</t>
  </si>
  <si>
    <t>Upload Documents (PDF / Excel / Drawings)</t>
  </si>
  <si>
    <t>Attach the source change documents.</t>
  </si>
  <si>
    <t>F-043</t>
  </si>
  <si>
    <t>AI Document Processing &amp; Auto-Extraction</t>
  </si>
  <si>
    <t>System reads the uploaded PDF/Excel and drafts the Evaluation Sheet automatically.</t>
  </si>
  <si>
    <t>F-044</t>
  </si>
  <si>
    <t>System Generates Change ID &amp; Workflow No.</t>
  </si>
  <si>
    <t>Every change gets a unique, auditable identifier the moment it's created.</t>
  </si>
  <si>
    <t>F-045</t>
  </si>
  <si>
    <t>Validation &amp; Triage</t>
  </si>
  <si>
    <t>Automatic Data Validation</t>
  </si>
  <si>
    <t>System checks the uploaded change against master data before it proceeds.</t>
  </si>
  <si>
    <t>F-046</t>
  </si>
  <si>
    <t>Check Project, Part, Supplier, BOM, Price, Revision</t>
  </si>
  <si>
    <t>Cross-reference the change against current master records for consistency.</t>
  </si>
  <si>
    <t>F-047</t>
  </si>
  <si>
    <t>Assign Buyer, SRM Engineer, Engineering Owner, Approver</t>
  </si>
  <si>
    <t>Route the validated change to the right people for evaluation.</t>
  </si>
  <si>
    <t>F-048</t>
  </si>
  <si>
    <t>Return for Correction if Validation Fails</t>
  </si>
  <si>
    <t>Send the change back to its initiator with the reason, rather than silently blocking it.</t>
  </si>
  <si>
    <t>F-049</t>
  </si>
  <si>
    <t>Impact Analysis</t>
  </si>
  <si>
    <t>Commercial Impact</t>
  </si>
  <si>
    <t>Quantify the price/cost impact of the proposed change.</t>
  </si>
  <si>
    <t>F-050</t>
  </si>
  <si>
    <t>Technical Impact</t>
  </si>
  <si>
    <t>Assess engineering/design consequences of the change.</t>
  </si>
  <si>
    <t>F-051</t>
  </si>
  <si>
    <t>Supply Chain Impact</t>
  </si>
  <si>
    <t>Assess effect on sourcing, lead time, and supplier capacity.</t>
  </si>
  <si>
    <t>F-052</t>
  </si>
  <si>
    <t>Production Impact</t>
  </si>
  <si>
    <t>Assess effect on plant production line/process.</t>
  </si>
  <si>
    <t>F-053</t>
  </si>
  <si>
    <t>Cost Analysis &amp; Savings / Increase</t>
  </si>
  <si>
    <t>Net cost impact calculation — savings or increase — versus current price.</t>
  </si>
  <si>
    <t>F-054</t>
  </si>
  <si>
    <t>AI Insights: Similar Changes, Risk Prediction</t>
  </si>
  <si>
    <t>Surface historically similar changes and flag risk indicators for this one.</t>
  </si>
  <si>
    <t>F-055</t>
  </si>
  <si>
    <t>Supplier Evaluation</t>
  </si>
  <si>
    <t>Send Change Package to Supplier</t>
  </si>
  <si>
    <t>Buyer downloads the necessary details and sends them to the supplier for evaluation.</t>
  </si>
  <si>
    <t>F-056</t>
  </si>
  <si>
    <t>Supplier Submits Offer, Timeline, Investment, Tooling, Capacity</t>
  </si>
  <si>
    <t>Supplier's full commercial and capability response to the change.</t>
  </si>
  <si>
    <t>F-057</t>
  </si>
  <si>
    <t>Upload Supporting Documents</t>
  </si>
  <si>
    <t>Attach the supplier's supporting evidence/quotes.</t>
  </si>
  <si>
    <t>F-058</t>
  </si>
  <si>
    <t>Buyer Review &amp; Clarification Loop</t>
  </si>
  <si>
    <t>Buyer reviews the offer and can loop back to the supplier for clarification before locking it.</t>
  </si>
  <si>
    <t>F-059</t>
  </si>
  <si>
    <t>Final Offer Locked</t>
  </si>
  <si>
    <t>Offer is finalised and cannot be silently altered afterward.</t>
  </si>
  <si>
    <t>F-060</t>
  </si>
  <si>
    <t>Approval Workflow</t>
  </si>
  <si>
    <t>Engineering Approval</t>
  </si>
  <si>
    <t>Sign-off from Engineering on the technical aspects of the change.</t>
  </si>
  <si>
    <t>F-061</t>
  </si>
  <si>
    <t>Quality Approval</t>
  </si>
  <si>
    <t>Sign-off from Quality.</t>
  </si>
  <si>
    <t>F-062</t>
  </si>
  <si>
    <t>SRM Approval</t>
  </si>
  <si>
    <t>Sign-off from SRM — relevant if the change affects tooling/milestones.</t>
  </si>
  <si>
    <t>F-063</t>
  </si>
  <si>
    <t>Finance Approval</t>
  </si>
  <si>
    <t>Sign-off from Finance on commercial impact.</t>
  </si>
  <si>
    <t>F-064</t>
  </si>
  <si>
    <t>Sign-off from Commodity Lead if commodity pricing is affected.</t>
  </si>
  <si>
    <t>F-065</t>
  </si>
  <si>
    <t>Final escalation-level sign-off for high-impact changes.</t>
  </si>
  <si>
    <t>F-066</t>
  </si>
  <si>
    <t>Digital Signatures, Comments &amp; Version Control</t>
  </si>
  <si>
    <t>Each approval stage is signed, commented, and versioned for audit.</t>
  </si>
  <si>
    <t>F-067</t>
  </si>
  <si>
    <t>Implementation &amp; Control</t>
  </si>
  <si>
    <t>ERP / Price Update</t>
  </si>
  <si>
    <t>Push the approved new price into EBON/ERP records.</t>
  </si>
  <si>
    <t>F-068</t>
  </si>
  <si>
    <t>Supplier Notification</t>
  </si>
  <si>
    <t>Notify the supplier the change is approved and active.</t>
  </si>
  <si>
    <t>F-069</t>
  </si>
  <si>
    <t>Drawing Release</t>
  </si>
  <si>
    <t>Release the updated engineering drawing tied to the change.</t>
  </si>
  <si>
    <t>F-070</t>
  </si>
  <si>
    <t>Tool Order</t>
  </si>
  <si>
    <t>Trigger a new/updated tool order if the change requires one.</t>
  </si>
  <si>
    <t>F-071</t>
  </si>
  <si>
    <t>BOM / PO Update</t>
  </si>
  <si>
    <t>Update BOM and any open Purchase Orders to reflect the change.</t>
  </si>
  <si>
    <t>F-072</t>
  </si>
  <si>
    <t>Plant / Quality / Production Notification</t>
  </si>
  <si>
    <t>Notify downstream plant stakeholders that the change is live.</t>
  </si>
  <si>
    <t>F-073</t>
  </si>
  <si>
    <t>Monitor &amp; Track Implementation</t>
  </si>
  <si>
    <t>Confirm the change has been implemented as approved.</t>
  </si>
  <si>
    <t>F-074</t>
  </si>
  <si>
    <t>Monitoring, Reporting &amp; AI Insights</t>
  </si>
  <si>
    <t>Change Dashboard (Open / Pending / Approved)</t>
  </si>
  <si>
    <t>Live status view of all changes by state.</t>
  </si>
  <si>
    <t>F-075</t>
  </si>
  <si>
    <t>AI Chatbot (Queries, Status, Cost Impact)</t>
  </si>
  <si>
    <t>Ask the assistant about any change's status or cost impact.</t>
  </si>
  <si>
    <t>F-076</t>
  </si>
  <si>
    <t>Reports &amp; PPT (Excel / PowerPoint / PDF)</t>
  </si>
  <si>
    <t>Downloadable reports for management circulation.</t>
  </si>
  <si>
    <t>F-077</t>
  </si>
  <si>
    <t>Change History &amp; Audit Trail</t>
  </si>
  <si>
    <t>Full, immutable history of every change and its approvals.</t>
  </si>
  <si>
    <t>F-078</t>
  </si>
  <si>
    <t>Cost Impact &amp; Savings Analysis</t>
  </si>
  <si>
    <t>Aggregate view of net cost impact across all changes.</t>
  </si>
  <si>
    <t>F-079</t>
  </si>
  <si>
    <t>Risk Forecasting (Delay, Cost, Supplier Risk)</t>
  </si>
  <si>
    <t>AI-based prediction of likely delay/cost/supplier risk for open changes.</t>
  </si>
  <si>
    <t>F-080</t>
  </si>
  <si>
    <t>Module 3 - SRM</t>
  </si>
  <si>
    <t>Part Assignment</t>
  </si>
  <si>
    <t>Create SRM Project</t>
  </si>
  <si>
    <t>Set up a new SRM tracking project, typically aligned to a Project Master record.</t>
  </si>
  <si>
    <t>F-081</t>
  </si>
  <si>
    <t>Import Parts &amp; BOM</t>
  </si>
  <si>
    <t>Bring in the parts/BOM that need SRM tracking for this project.</t>
  </si>
  <si>
    <t>F-082</t>
  </si>
  <si>
    <t>Import Supplier List</t>
  </si>
  <si>
    <t>Bring in the suppliers responsible for these parts.</t>
  </si>
  <si>
    <t>F-083</t>
  </si>
  <si>
    <t>Assign KTM Expert</t>
  </si>
  <si>
    <t>Assign the KTM-level expert responsible for oversight.</t>
  </si>
  <si>
    <t>F-084</t>
  </si>
  <si>
    <t>Assign QE, Buyer, SRM Engineer, Logistics, Tool Owner</t>
  </si>
  <si>
    <t>Assign all the named stakeholders for this part's readiness tracking.</t>
  </si>
  <si>
    <t>F-085</t>
  </si>
  <si>
    <t>Define Milestones</t>
  </si>
  <si>
    <t>Set the milestone plan (from the 19-stage set) for this part.</t>
  </si>
  <si>
    <t>F-086</t>
  </si>
  <si>
    <t>Start Monitoring</t>
  </si>
  <si>
    <t>Activate tracking — reminders and alerts begin from this point.</t>
  </si>
  <si>
    <t>F-087</t>
  </si>
  <si>
    <t>Supplier Onboarding</t>
  </si>
  <si>
    <t>Supplier Master Data</t>
  </si>
  <si>
    <t>Core supplier record — code, name, location, category.</t>
  </si>
  <si>
    <t>F-088</t>
  </si>
  <si>
    <t>Plant, Contacts, Tool Shop</t>
  </si>
  <si>
    <t>Supplier's plant address, key contacts, and tool-shop details.</t>
  </si>
  <si>
    <t>F-089</t>
  </si>
  <si>
    <t>Tool Maker &amp; Cavities</t>
  </si>
  <si>
    <t>Identify who makes the tool and how many cavities it has.</t>
  </si>
  <si>
    <t>F-090</t>
  </si>
  <si>
    <t>Capacity, Location, Certifications</t>
  </si>
  <si>
    <t>Supplier's production capacity, plant location, and quality certifications.</t>
  </si>
  <si>
    <t>F-091</t>
  </si>
  <si>
    <t>Commodity, Business Share</t>
  </si>
  <si>
    <t>Which commodity the supplier covers and their share of business.</t>
  </si>
  <si>
    <t>F-092</t>
  </si>
  <si>
    <t>Risk Rating &amp; Performance</t>
  </si>
  <si>
    <t>Ongoing supplier risk/performance score.</t>
  </si>
  <si>
    <t>F-093</t>
  </si>
  <si>
    <t>Tool Readiness</t>
  </si>
  <si>
    <t>Tool Number, Type, Location</t>
  </si>
  <si>
    <t>Core tool identity and where it currently sits.</t>
  </si>
  <si>
    <t>F-094</t>
  </si>
  <si>
    <t>As captured at onboarding, tracked through the tool's life.</t>
  </si>
  <si>
    <t>F-095</t>
  </si>
  <si>
    <t>Tool Kickoff</t>
  </si>
  <si>
    <t>Record when tool development formally begins.</t>
  </si>
  <si>
    <t>F-096</t>
  </si>
  <si>
    <t>Tool Trial</t>
  </si>
  <si>
    <t>Record trial runs and outcomes.</t>
  </si>
  <si>
    <t>F-097</t>
  </si>
  <si>
    <t>Tool Investment &amp; Completion %</t>
  </si>
  <si>
    <t>Track CAPEX spend against percentage complete.</t>
  </si>
  <si>
    <t>F-098</t>
  </si>
  <si>
    <t>Tool Trial &amp; Shipment Status</t>
  </si>
  <si>
    <t>Status of trial completion and shipment to series site.</t>
  </si>
  <si>
    <t>F-099</t>
  </si>
  <si>
    <t>First Parts</t>
  </si>
  <si>
    <t>Record of first parts produced off the tool.</t>
  </si>
  <si>
    <t>F-100</t>
  </si>
  <si>
    <t>Tool Photos &amp; Maintenance</t>
  </si>
  <si>
    <t>Photographic record and maintenance log for the tool.</t>
  </si>
  <si>
    <t>F-101</t>
  </si>
  <si>
    <t>Milestone Tracking</t>
  </si>
  <si>
    <t>B Release</t>
  </si>
  <si>
    <t>One of the 19 confirmed milestone stages.</t>
  </si>
  <si>
    <t>F-102</t>
  </si>
  <si>
    <t>P-Frei / B-Frei</t>
  </si>
  <si>
    <t>Release-freeze milestone pair.</t>
  </si>
  <si>
    <t>F-103</t>
  </si>
  <si>
    <t>VFF → PVS → 0-Series</t>
  </si>
  <si>
    <t>Core pre-series milestone chain.</t>
  </si>
  <si>
    <t>F-104</t>
  </si>
  <si>
    <t>PPAP → SOP Readiness → SOP</t>
  </si>
  <si>
    <t>Final approval-to-production milestone chain.</t>
  </si>
  <si>
    <t>F-105</t>
  </si>
  <si>
    <t>Readiness Assessment</t>
  </si>
  <si>
    <t>Engineering</t>
  </si>
  <si>
    <t>Readiness score for the engineering dimension.</t>
  </si>
  <si>
    <t>F-106</t>
  </si>
  <si>
    <t>Quality</t>
  </si>
  <si>
    <t>Readiness score for the quality dimension.</t>
  </si>
  <si>
    <t>F-107</t>
  </si>
  <si>
    <t>Tooling</t>
  </si>
  <si>
    <t>Readiness score for tooling.</t>
  </si>
  <si>
    <t>F-108</t>
  </si>
  <si>
    <t>Capacity</t>
  </si>
  <si>
    <t>Readiness score for supplier production capacity.</t>
  </si>
  <si>
    <t>F-109</t>
  </si>
  <si>
    <t>Material</t>
  </si>
  <si>
    <t>Readiness score for material availability.</t>
  </si>
  <si>
    <t>F-110</t>
  </si>
  <si>
    <t>Logistics</t>
  </si>
  <si>
    <t>Readiness score for logistics/delivery.</t>
  </si>
  <si>
    <t>F-111</t>
  </si>
  <si>
    <t>Production</t>
  </si>
  <si>
    <t>Readiness score for production-line readiness.</t>
  </si>
  <si>
    <t>F-112</t>
  </si>
  <si>
    <t>Overall Readiness Score (R/Y/G)</t>
  </si>
  <si>
    <t>Composite RGY status rolled up from all dimensions above.</t>
  </si>
  <si>
    <t>F-113</t>
  </si>
  <si>
    <t>Monitor, Alerts &amp; Reporting</t>
  </si>
  <si>
    <t>Automatic Alerts (6W / 4W / 2W / Overdue)</t>
  </si>
  <si>
    <t>Time-based alert cadence ahead of each milestone.</t>
  </si>
  <si>
    <t>F-114</t>
  </si>
  <si>
    <t>Escalation to Supervisors &amp; Management</t>
  </si>
  <si>
    <t>Escalate unresolved alerts up the chain.</t>
  </si>
  <si>
    <t>F-115</t>
  </si>
  <si>
    <t>Performance Dashboard</t>
  </si>
  <si>
    <t>Supplier and part-level performance view.</t>
  </si>
  <si>
    <t>F-116</t>
  </si>
  <si>
    <t>SRM Reports</t>
  </si>
  <si>
    <t>Auto-generated Status Tracking Report (PPT/PDF) circulated to stakeholders.</t>
  </si>
  <si>
    <t>F-117</t>
  </si>
  <si>
    <t>AI Chatbot &amp; Forecasting</t>
  </si>
  <si>
    <t>Query SRM status conversationally; forecast likely delays.</t>
  </si>
  <si>
    <t>F-118</t>
  </si>
  <si>
    <t>AI-Powered Insights &amp; Reports</t>
  </si>
  <si>
    <t>Supplier Readiness Overview</t>
  </si>
  <si>
    <t>Portfolio-level view of readiness across all suppliers/parts.</t>
  </si>
  <si>
    <t>F-119</t>
  </si>
  <si>
    <t>Milestone Heatmap (Projects / Parts)</t>
  </si>
  <si>
    <t>Visual heatmap of milestone health across the portfolio.</t>
  </si>
  <si>
    <t>F-120</t>
  </si>
  <si>
    <t>Delay &amp; Risk Prediction</t>
  </si>
  <si>
    <t>AI-predicted likelihood of milestone delay.</t>
  </si>
  <si>
    <t>F-121</t>
  </si>
  <si>
    <t>Supplier Performance Ranking</t>
  </si>
  <si>
    <t>Ranked view of suppliers by readiness/risk/performance.</t>
  </si>
  <si>
    <t>F-122</t>
  </si>
  <si>
    <t>Executive Dashboard &amp; PowerPoint</t>
  </si>
  <si>
    <t>Management-ready rollup, exportable to PPT.</t>
  </si>
  <si>
    <t>F-123</t>
  </si>
  <si>
    <t>AI Chatbot for SRM Queries</t>
  </si>
  <si>
    <t>Natural-language SRM query capability.</t>
  </si>
  <si>
    <t>F-124</t>
  </si>
  <si>
    <t>Cross-Cutting Platform</t>
  </si>
  <si>
    <t>Platform Services</t>
  </si>
  <si>
    <t>Master Data Core</t>
  </si>
  <si>
    <t>Project, Part, Supplier, Commodity/FX, Tooling, BOM, Buyer-Material Relationship, CBD tree — single governed source.</t>
  </si>
  <si>
    <t>F-125</t>
  </si>
  <si>
    <t>Workflow / Approval Engine</t>
  </si>
  <si>
    <t>Configurable, type-specific approval routing with unique workflow numbering.</t>
  </si>
  <si>
    <t>F-126</t>
  </si>
  <si>
    <t>Escalation Engine</t>
  </si>
  <si>
    <t>Time-based escalation trigger, admin-configurable ladder.</t>
  </si>
  <si>
    <t>F-127</t>
  </si>
  <si>
    <t>Dashboards &amp; Reports (platform-wide)</t>
  </si>
  <si>
    <t>Material Cost, Investment, Benchmarking, Tooling/Readiness, SRM Status, AEKO Tracking, Operational.</t>
  </si>
  <si>
    <t>F-128</t>
  </si>
  <si>
    <t>AI Assistant (platform-wide)</t>
  </si>
  <si>
    <t>Text + graphical query, forecasting, auto-report generation across laptop/iPad/mobile.</t>
  </si>
  <si>
    <t>F-129</t>
  </si>
  <si>
    <t>Security &amp; Access Control</t>
  </si>
  <si>
    <t>SSO/PKI auth, RBAC, VW Group Annexure A compliance (~90 clauses, 6 sections).</t>
  </si>
  <si>
    <t>F-130</t>
  </si>
  <si>
    <t>In-App Task / Notification Centre</t>
  </si>
  <si>
    <t>Dedicated “My Tasks” view, distinct from Approvals Inbox.</t>
  </si>
  <si>
    <t>F-131</t>
  </si>
  <si>
    <t>Historical Data Pre-Fill</t>
  </si>
  <si>
    <t>Bulk load of historical price/cost/SRM data prior to go-live.</t>
  </si>
  <si>
    <t>F-132</t>
  </si>
  <si>
    <t>Dev / Test / Prod Environments</t>
  </si>
  <si>
    <t>Three isolated environments with promotion pipeline.</t>
  </si>
  <si>
    <t>F-133</t>
  </si>
  <si>
    <t>Training Materials &amp; FAQ</t>
  </si>
  <si>
    <t>User manual, video tutorial, FAQ prior to go-live.</t>
  </si>
  <si>
    <t>F-134</t>
  </si>
  <si>
    <t>UAT Support &amp; Stabilisation</t>
  </si>
  <si>
    <t>4-month go-live incl. UAT, 1-month post-go-live stabilisation.</t>
  </si>
  <si>
    <t>F-135</t>
  </si>
  <si>
    <t>Mass Data Upload Utility (CBD — 2 Formats)</t>
  </si>
  <si>
    <t>Generic mass-upload utility supporting both SAVWIPL Cost Breakdown template formats, used across master and transactional data updates.</t>
  </si>
  <si>
    <t>F-136</t>
  </si>
  <si>
    <t>Imported Parts Pricing (Group Company Block/Dummy Price → Actual SOP Price)</t>
  </si>
  <si>
    <t>Pre-SOP: capture a dummy part number / block price for imported parts sourced from Group Companies. At SOP: replace with the actual part number and price.</t>
  </si>
  <si>
    <t>F-137</t>
  </si>
  <si>
    <t>EBON Annual PO Mass-Update Reminder (November)</t>
  </si>
  <si>
    <t>Automated annual reminder, triggered every November, prompting Buyers to update EBON Purchase Orders wherever yearly price reductions apply.</t>
  </si>
  <si>
    <t>F-138</t>
  </si>
  <si>
    <t>Random Project Data Upload (Benchmarking)</t>
  </si>
  <si>
    <t>Dedicated upload workflow for external / other-project data used purely for benchmarking comparisons, kept separate from the active project’s own master and transactional data.</t>
  </si>
  <si>
    <t>F-139</t>
  </si>
  <si>
    <t>MOD Sheet Auto-Population &amp; Controlled Overwrite</t>
  </si>
  <si>
    <t>System pre-fills the MOD Sheet format with current prices from the knowledge source; Buyer can overwrite with new prices via a controlled, logged action (no silent overwrite).</t>
  </si>
  <si>
    <t>F-140</t>
  </si>
  <si>
    <t>Restricted External / Outside-India User Access</t>
  </si>
  <si>
    <t>Provision for outside-India colleagues to receive a restricted login limited strictly to the Technical Change Evaluation module, with no access to other modules.</t>
  </si>
  <si>
    <t>F-141</t>
  </si>
  <si>
    <t>Part Colour Code / Fakum Mapping to Base Part</t>
  </si>
  <si>
    <t>Capture part numbers with colour code / Fakum variants against a base part number, where the variant is not already available in the base part record.</t>
  </si>
  <si>
    <t>F-142</t>
  </si>
  <si>
    <t>Milestone Amendment Approval with Strikethrough History</t>
  </si>
  <si>
    <t>Any amendment to a first-entered milestone date must route through Supervisor / Commodity Lead approval; the prior value remains visible with strikethrough formatting on dashboards and reports.</t>
  </si>
  <si>
    <t>F-143</t>
  </si>
  <si>
    <t>AI Model Abstraction Layer (Vendor AI vs SAVWIPL AI)</t>
  </si>
  <si>
    <t>Architecture layer allowing the chatbot/analytics engine to run on either a vendor-hosted AI model or a SAVWIPL-provided AI model, matching the two commercial options requested in the RFQ.</t>
  </si>
  <si>
    <t>F-144</t>
  </si>
  <si>
    <t>Operational Dashboard (Platform Health &amp; Usage)</t>
  </si>
  <si>
    <t>Monitoring dashboard covering system usage, workflow throughput, and platform health indicators — distinct from the business-facing dashboards.</t>
  </si>
  <si>
    <t>F-145</t>
  </si>
  <si>
    <t>Multi-Device Responsive Access (Laptop / iPad / Mobile)</t>
  </si>
  <si>
    <t>Platform-wide responsive access to all modules and dashboards (not only the AI chatbot) across official laptop, iPad, and mobile devices.</t>
  </si>
  <si>
    <t>F-146</t>
  </si>
  <si>
    <t>Email Server Integration (SMTP / Exchange Setup)</t>
  </si>
  <si>
    <t>Core integration with the customer’s email server enabling every reminder, alert, and approval-note communication across all three modules.</t>
  </si>
  <si>
    <t>F-147</t>
  </si>
  <si>
    <t>OCR / Scanned Document Extraction (Optional)</t>
  </si>
  <si>
    <t>Optional OCR layer to extract data from scanned (non-digital) PDFs for Technical Change document ingestion, if confirmed in scope during pre-bid clarification.</t>
  </si>
  <si>
    <t>F-148</t>
  </si>
  <si>
    <t>Annual AI / Software Version Upgrade</t>
  </si>
  <si>
    <t>Yearly upgrade of the AI model / software version at no additional cost, per the RFQ commercial requirement.</t>
  </si>
  <si>
    <t>Total Features</t>
  </si>
  <si>
    <t>RFQ Traceability</t>
  </si>
  <si>
    <t>Scope Review Flags</t>
  </si>
  <si>
    <t>Phase 1</t>
  </si>
  <si>
    <t>Phase 2</t>
  </si>
  <si>
    <t>Phase 3</t>
  </si>
  <si>
    <t>Small</t>
  </si>
  <si>
    <t>Medium</t>
  </si>
  <si>
    <t>Large</t>
  </si>
  <si>
    <t>Not captured</t>
  </si>
  <si>
    <t>Total</t>
  </si>
  <si>
    <t>Column</t>
  </si>
  <si>
    <t>Meaning</t>
  </si>
  <si>
    <t>Unique sequential reference (F-001, F-002...)</t>
  </si>
  <si>
    <t>Platform module the feature belongs to (colour-coded, matching Summary sheet)</t>
  </si>
  <si>
    <t>The workflow stage this feature sits in (per the three approved workflow visuals)</t>
  </si>
  <si>
    <t>Short feature name, exactly as it appears in the Deep-Dive Feature Specification v0.2</t>
  </si>
  <si>
    <t>One-line functional description</t>
  </si>
  <si>
    <t>Status</t>
  </si>
  <si>
    <t>Confirmed FR = traceable to an original Functional Requirement (BRD v0.1). ★ Newly Surfaced = named in the workflow visuals but not in the original 50 FRs — needs a scope/priority decision</t>
  </si>
  <si>
    <t>FR Ref</t>
  </si>
  <si>
    <t>Functional Requirement number(s) this feature maps to, where applicable</t>
  </si>
  <si>
    <t>Open Item Ref</t>
  </si>
  <si>
    <t>Cross-reference to the Estimation Risk Register (#1–#11) in the BRD / Deep-Dive doc, where this feature carries an open question</t>
  </si>
  <si>
    <t>1 = Core Go-Live, 2 = Technical Change optional package, 3 = Advanced AI/Forecasting</t>
  </si>
  <si>
    <t>Must / Should / Could. Confirmed FR items default to Must; newly-surfaced items are Should unless they are pure AI/analytics add-ons (Could). Review before finalising.</t>
  </si>
  <si>
    <t>Small / Medium / Large — a relative sizing input for the estimator, assigned heuristically from feature type (data tree, AI/extraction, and mass-upload features trend Large; simple CRUD/master fields trend Small). Re-validate for anything estimation-critical.</t>
  </si>
  <si>
    <t>Architect Notes</t>
  </si>
  <si>
    <t>Free-text field for architects to record assumptions, dependencies, or design notes affecting the effort estimate.</t>
  </si>
  <si>
    <t>Note: Priority and Complexity are heuristic starting points generated for this inventory, not confirmed estimates — validate with the delivery team, especially for every ★ Newly Surfaced and every row carrying an Open Item Ref.</t>
  </si>
  <si>
    <t>SAVWIPL AIS – Feature Inventory &amp; Effort Review</t>
  </si>
  <si>
    <t>Review of procurement digitalisation, technical change evaluation, SRM and cross-cutting platform work. Estimates are normalized to 8-hour person-days.</t>
  </si>
  <si>
    <t>Inventory Quality</t>
  </si>
  <si>
    <t>Value</t>
  </si>
  <si>
    <t>Finding</t>
  </si>
  <si>
    <t>Action</t>
  </si>
  <si>
    <t>Rows reviewed</t>
  </si>
  <si>
    <t>148 numbered features + 2 unnumbered rows</t>
  </si>
  <si>
    <t>Retain one consistent WBS numbering scheme</t>
  </si>
  <si>
    <t>Original manual effort (normalized PD)</t>
  </si>
  <si>
    <t>Computed from 9,872 hours</t>
  </si>
  <si>
    <t>Use hours as current source of truth</t>
  </si>
  <si>
    <t>Original Claude effort (normalized PD)</t>
  </si>
  <si>
    <t>Computed from 6,560 hours</t>
  </si>
  <si>
    <t>Current saving assumption is aggressive</t>
  </si>
  <si>
    <t>Current implied Claude saving</t>
  </si>
  <si>
    <t>Across listed feature hours</t>
  </si>
  <si>
    <t>Revalidate by work type and SDLC role</t>
  </si>
  <si>
    <t>Recommended feature manual effort (most likely PD)</t>
  </si>
  <si>
    <t>Feature-level re-baseline</t>
  </si>
  <si>
    <t>Still excludes de-duplicated project-level gaps</t>
  </si>
  <si>
    <t>Recommended feature Claude effort (most likely PD)</t>
  </si>
  <si>
    <t>Enterprise-lifecycle-aware AI benefit</t>
  </si>
  <si>
    <t>Use as planning baseline, not commitment</t>
  </si>
  <si>
    <t>Coverage gap work packages</t>
  </si>
  <si>
    <t>Missing, partial or clarification items</t>
  </si>
  <si>
    <t>Add/decompose before commercial submission</t>
  </si>
  <si>
    <t>Summary formula issue</t>
  </si>
  <si>
    <t>Original Summary has broken C/D formulas</t>
  </si>
  <si>
    <t>Add traceability columns or use Review Summary</t>
  </si>
  <si>
    <t>Current Manual PD</t>
  </si>
  <si>
    <t>Current Claude PD</t>
  </si>
  <si>
    <t>Reviewed Manual PD</t>
  </si>
  <si>
    <t>Reviewed Claude PD</t>
  </si>
  <si>
    <t>Unassigned</t>
  </si>
  <si>
    <t>Assessment</t>
  </si>
  <si>
    <t>Count</t>
  </si>
  <si>
    <t>Underestimated</t>
  </si>
  <si>
    <t>Broadly reasonable</t>
  </si>
  <si>
    <t>Scope confirmation required</t>
  </si>
  <si>
    <t>Shared-enabler boundary required</t>
  </si>
  <si>
    <t>Potential overlap / overestimate</t>
  </si>
  <si>
    <t>Merge / remove from total</t>
  </si>
  <si>
    <t>Critical Review Findings</t>
  </si>
  <si>
    <t>Gap Category</t>
  </si>
  <si>
    <t>Items</t>
  </si>
  <si>
    <t>Manual Low</t>
  </si>
  <si>
    <t>Manual Most Likely</t>
  </si>
  <si>
    <t>Claude Most Likely</t>
  </si>
  <si>
    <t>#</t>
  </si>
  <si>
    <t>Issue</t>
  </si>
  <si>
    <t>Evidence</t>
  </si>
  <si>
    <t>Recommended Action</t>
  </si>
  <si>
    <t>Discovery &amp; Governance</t>
  </si>
  <si>
    <t>Duplicate unnumbered rows</t>
  </si>
  <si>
    <t>Authentication &amp; Authorization overlaps F-129; Notification Module overlaps F-026/F-126/F-130/F-146.</t>
  </si>
  <si>
    <t>Remove from totals or retain only as non-estimated epic headings.</t>
  </si>
  <si>
    <t>Platform Administration</t>
  </si>
  <si>
    <t>Mixed WBS levels</t>
  </si>
  <si>
    <t>The inventory mixes epics, shared engines, integrations, screens, business rules and delivery activities.</t>
  </si>
  <si>
    <t>Add WBS Level, Parent Feature and Estimate Boundary columns.</t>
  </si>
  <si>
    <t>Data &amp; Integration</t>
  </si>
  <si>
    <t>Broken traceability</t>
  </si>
  <si>
    <t>Legend describes Status, FR Ref and Open Item Ref, but those columns are absent; Summary formulas consequently fail.</t>
  </si>
  <si>
    <t>Add an RFQ-to-feature traceability matrix before bid submission.</t>
  </si>
  <si>
    <t>Procurement Rules</t>
  </si>
  <si>
    <t>4</t>
  </si>
  <si>
    <t>Scope expansion risk</t>
  </si>
  <si>
    <t>F-007 to F-011 and F-037 to F-040 are not clearly explicit in the RFQ baseline.</t>
  </si>
  <si>
    <t>Confirm as in-scope, optional or future phase.</t>
  </si>
  <si>
    <t>Technical Change Rules</t>
  </si>
  <si>
    <t>5</t>
  </si>
  <si>
    <t>Shared-platform double count</t>
  </si>
  <si>
    <t>F-124 to F-130 and F-143 to F-146 can overlap with module-level tasks.</t>
  </si>
  <si>
    <t>Estimate foundation once; module rows should cover configuration/incremental effort.</t>
  </si>
  <si>
    <t>SRM Rules</t>
  </si>
  <si>
    <t>6</t>
  </si>
  <si>
    <t>AI duplication</t>
  </si>
  <si>
    <t>F-117 and F-123 overlap; F-128 also overlaps all module chatbots.</t>
  </si>
  <si>
    <t>Use one shared AI platform plus module-specific intents, schemas and test packs.</t>
  </si>
  <si>
    <t>AI Governance &amp; MLOps</t>
  </si>
  <si>
    <t>7</t>
  </si>
  <si>
    <t>Estimate conversion errors</t>
  </si>
  <si>
    <t>Rows 2–3 contain hours without days; F-145 shows 12 days/160 hours and 10 AI days/120 hours.</t>
  </si>
  <si>
    <t>Standardize on 8-hour days and formula-driven hour/day conversion.</t>
  </si>
  <si>
    <t>Quality &amp; Non-Functional</t>
  </si>
  <si>
    <t>8</t>
  </si>
  <si>
    <t>Full-project work absent</t>
  </si>
  <si>
    <t>BRD, UX, architecture, QA, performance, security, migration, DevOps, training delivery, cutover and support setup are not consistently estimated.</t>
  </si>
  <si>
    <t>Add the Coverage Gaps work packages and re-baseline.</t>
  </si>
  <si>
    <t>DevOps &amp; Operations</t>
  </si>
  <si>
    <t>9</t>
  </si>
  <si>
    <t>AI saving assumption</t>
  </si>
  <si>
    <t>Current hours imply 33.6% saving, including work that is not strongly AI-compressible.</t>
  </si>
  <si>
    <t>Apply AI factors by task type; validate with historical delivery data.</t>
  </si>
  <si>
    <t>Training &amp; Go-Live</t>
  </si>
  <si>
    <t>10</t>
  </si>
  <si>
    <t>Four-month timeline</t>
  </si>
  <si>
    <t>The current list represents 100 Phase-1 features before missing delivery tasks are considered.</t>
  </si>
  <si>
    <t>Deliver a prioritized MVP and run parallel workstreams; do not promise all advanced AI and integrations in one release.</t>
  </si>
  <si>
    <t>Source Row</t>
  </si>
  <si>
    <t>Priority</t>
  </si>
  <si>
    <t>Complexity</t>
  </si>
  <si>
    <t>Current Manual PD
(Normalized from Hours)</t>
  </si>
  <si>
    <t>Current Claude AI PD
(Normalized from Hours)</t>
  </si>
  <si>
    <t>Estimate Category</t>
  </si>
  <si>
    <t>Recommended Manual PD - Low</t>
  </si>
  <si>
    <t>Recommended Manual PD - Most Likely</t>
  </si>
  <si>
    <t>Recommended Manual PD - High</t>
  </si>
  <si>
    <t>Recommended Claude AI PD - Most Likely</t>
  </si>
  <si>
    <t>Confidence</t>
  </si>
  <si>
    <t>Review Rationale</t>
  </si>
  <si>
    <t>UNNUMBERED</t>
  </si>
  <si>
    <t>Duplicate / unnumbered</t>
  </si>
  <si>
    <t>High</t>
  </si>
  <si>
    <t>Unnumbered and overlaps with cross-cutting Security/Access and Notification/Task Centre features; retain only as epic headings.</t>
  </si>
  <si>
    <t>CRUD / configuration</t>
  </si>
  <si>
    <t>Reasonable as a build estimate, subject to confirmed acceptance criteria, data volumes and shared-platform assumptions.</t>
  </si>
  <si>
    <t>Data ingestion / migration</t>
  </si>
  <si>
    <t>Current estimate does not fully reflect enterprise validation, error handling, integration, security, audit and test effort.</t>
  </si>
  <si>
    <t>Complex data / calculation</t>
  </si>
  <si>
    <t>External integration</t>
  </si>
  <si>
    <t>Scope clarification</t>
  </si>
  <si>
    <t>Low</t>
  </si>
  <si>
    <t>Not clearly stated in the RFQ baseline; include only after customer confirmation or treat as optional enhancement.</t>
  </si>
  <si>
    <t>Standard functional feature</t>
  </si>
  <si>
    <t>Workflow / approval</t>
  </si>
  <si>
    <t>Dashboard / reporting</t>
  </si>
  <si>
    <t>AI / ML / Intelligent automation</t>
  </si>
  <si>
    <t>Overlaps with F-117 and F-128. Treat as SRM-specific configuration on the shared AI assistant, not a second chatbot build.</t>
  </si>
  <si>
    <t>Platform / delivery</t>
  </si>
  <si>
    <t>Valid shared platform work, but module rows must be estimated as incremental configuration to avoid double counting.</t>
  </si>
  <si>
    <t>Gap ID</t>
  </si>
  <si>
    <t>Category</t>
  </si>
  <si>
    <t>Work Package / Missing Task</t>
  </si>
  <si>
    <t>Coverage Status</t>
  </si>
  <si>
    <t>Source / Requirement Reference</t>
  </si>
  <si>
    <t>Manual PD - Low</t>
  </si>
  <si>
    <t>Manual PD - Most Likely</t>
  </si>
  <si>
    <t>Manual PD - High</t>
  </si>
  <si>
    <t>Claude AI PD - Most Likely</t>
  </si>
  <si>
    <t>Estimate Handling</t>
  </si>
  <si>
    <t>Review Note</t>
  </si>
  <si>
    <t>G-001</t>
  </si>
  <si>
    <t>BRD preparation, workshops and customer approval</t>
  </si>
  <si>
    <t>Requirement</t>
  </si>
  <si>
    <t>RFQ Requirements + Statistics rows 47-49</t>
  </si>
  <si>
    <t>Add as explicit project work package</t>
  </si>
  <si>
    <t>Required for full-project delivery but absent from the current feature inventory.</t>
  </si>
  <si>
    <t>G-002</t>
  </si>
  <si>
    <t>Requirement traceability matrix (RFQ row-to-feature-to-test mapping)</t>
  </si>
  <si>
    <t>Needed for bid and scope control</t>
  </si>
  <si>
    <t>G-003</t>
  </si>
  <si>
    <t>Detailed functional design, user stories and acceptance criteria</t>
  </si>
  <si>
    <t>Design</t>
  </si>
  <si>
    <t>All modules</t>
  </si>
  <si>
    <t>G-004</t>
  </si>
  <si>
    <t>UX/UI research, wireframes, design system and responsive prototypes</t>
  </si>
  <si>
    <t>Laptop/iPad/mobile scope</t>
  </si>
  <si>
    <t>G-005</t>
  </si>
  <si>
    <t>Solution architecture and deployment topology</t>
  </si>
  <si>
    <t>Technical Solution Document architecture dependency</t>
  </si>
  <si>
    <t>G-006</t>
  </si>
  <si>
    <t>Data architecture, logical/physical model, data dictionary and governance</t>
  </si>
  <si>
    <t>Central governed repository</t>
  </si>
  <si>
    <t>G-007</t>
  </si>
  <si>
    <t>Integration assessment, interface contracts and API/file specifications</t>
  </si>
  <si>
    <t>EBON/SAP/email/market data</t>
  </si>
  <si>
    <t>G-008</t>
  </si>
  <si>
    <t>Annexure A security compliance assessment and control matrix</t>
  </si>
  <si>
    <t>RFQ Requirements + Statistics row 53</t>
  </si>
  <si>
    <t>G-009</t>
  </si>
  <si>
    <t>Project management, Agile ceremonies, RAID, status and stakeholder governance</t>
  </si>
  <si>
    <t>PM</t>
  </si>
  <si>
    <t>RFQ prefers Agile delivery</t>
  </si>
  <si>
    <t>G-010</t>
  </si>
  <si>
    <t>Business change management and stakeholder communication plan</t>
  </si>
  <si>
    <t>Enterprise adoption</t>
  </si>
  <si>
    <t>G-011</t>
  </si>
  <si>
    <t>User/role/permission matrix and user administration screens</t>
  </si>
  <si>
    <t>F-129 covers security but not detailed admin UX</t>
  </si>
  <si>
    <t>Decompose/replace related feature; do not simply add</t>
  </si>
  <si>
    <t>The capability is implied by an existing feature, but the delivery work and acceptance criteria are not visible.</t>
  </si>
  <si>
    <t>G-012</t>
  </si>
  <si>
    <t>Workflow configuration and approval-matrix administration</t>
  </si>
  <si>
    <t>Assumption</t>
  </si>
  <si>
    <t>F-125 shared workflow engine</t>
  </si>
  <si>
    <t>G-013</t>
  </si>
  <si>
    <t>Notification, reminder, escalation and email-template administration</t>
  </si>
  <si>
    <t>F-126/F-130/F-146</t>
  </si>
  <si>
    <t>G-014</t>
  </si>
  <si>
    <t>Document repository, metadata, versioning, preview, antivirus and retention</t>
  </si>
  <si>
    <t>Uploads across all modules</t>
  </si>
  <si>
    <t>G-015</t>
  </si>
  <si>
    <t>File-ingestion monitoring, validation error queue, retry and reconciliation</t>
  </si>
  <si>
    <t>Development</t>
  </si>
  <si>
    <t>Excel/email/mass uploads</t>
  </si>
  <si>
    <t>G-016</t>
  </si>
  <si>
    <t>Report and PowerPoint template management</t>
  </si>
  <si>
    <t>AI/ML</t>
  </si>
  <si>
    <t>Predefined and free-flow outputs</t>
  </si>
  <si>
    <t>G-017</t>
  </si>
  <si>
    <t>Audit-log viewer, search, export and retention policy</t>
  </si>
  <si>
    <t>Non functional</t>
  </si>
  <si>
    <t>Audit trails exist but admin capability is absent</t>
  </si>
  <si>
    <t>G-018</t>
  </si>
  <si>
    <t>Global search and indexing across structured records and documents</t>
  </si>
  <si>
    <t>Central searchable platform</t>
  </si>
  <si>
    <t>G-019</t>
  </si>
  <si>
    <t>Data retention, archive, legal hold and exit/data-portability export</t>
  </si>
  <si>
    <t>On-prem/data-transfer requirement</t>
  </si>
  <si>
    <t>G-020</t>
  </si>
  <si>
    <t>Historical data profiling, cleansing, mapping and ownership sign-off</t>
  </si>
  <si>
    <t>RFQ row 36</t>
  </si>
  <si>
    <t>G-021</t>
  </si>
  <si>
    <t>Migration rehearsal/dry run and defect correction</t>
  </si>
  <si>
    <t>Historical pre-fill</t>
  </si>
  <si>
    <t>G-022</t>
  </si>
  <si>
    <t>Production cutover migration, reconciliation and business sign-off</t>
  </si>
  <si>
    <t>Go-live readiness</t>
  </si>
  <si>
    <t>G-023</t>
  </si>
  <si>
    <t>Sourcing system / EBON integration or governed secure file exchange</t>
  </si>
  <si>
    <t>F-006/F-024</t>
  </si>
  <si>
    <t>G-024</t>
  </si>
  <si>
    <t>ERP/SAP integration, error handling and reconciliation</t>
  </si>
  <si>
    <t>G-025</t>
  </si>
  <si>
    <t>Inbound mailbox and outbound email integration, parsing and delivery tracking</t>
  </si>
  <si>
    <t>G-026</t>
  </si>
  <si>
    <t>Commodity, forex and market-data feed integration</t>
  </si>
  <si>
    <t>Forecasting and automatic price calculation</t>
  </si>
  <si>
    <t>G-027</t>
  </si>
  <si>
    <t>SSO/PKI integration testing, certificate lifecycle and fallback handling</t>
  </si>
  <si>
    <t>G-028</t>
  </si>
  <si>
    <t>Monday consolidated data-completion reminder and escalation after four reminders</t>
  </si>
  <si>
    <t>Outline Concept - Other than SRM step 5</t>
  </si>
  <si>
    <t>G-029</t>
  </si>
  <si>
    <t>Buyer-material relationship master and mass upload</t>
  </si>
  <si>
    <t>Outline Concept step 10 / F-124</t>
  </si>
  <si>
    <t>G-030</t>
  </si>
  <si>
    <t>Target EKL, effective-dated forecast price and car-volume mass upload</t>
  </si>
  <si>
    <t>Outline Concept step 15</t>
  </si>
  <si>
    <t>G-031</t>
  </si>
  <si>
    <t>EBON PO mass-update file generation, validation and reconciliation</t>
  </si>
  <si>
    <t>Outline Concept step 13</t>
  </si>
  <si>
    <t>G-032</t>
  </si>
  <si>
    <t>My Master Data / Department Master Data maintenance</t>
  </si>
  <si>
    <t>Outline Concept step 12 remark</t>
  </si>
  <si>
    <t>G-033</t>
  </si>
  <si>
    <t>Daily consolidated buyer reminder from day 5 with aging count</t>
  </si>
  <si>
    <t>Outline Concept steps 6-7</t>
  </si>
  <si>
    <t>G-034</t>
  </si>
  <si>
    <t>Email delivery, rejection, resend and approval-note communication log</t>
  </si>
  <si>
    <t>Outline Concept step 12</t>
  </si>
  <si>
    <t>G-035</t>
  </si>
  <si>
    <t>Part-index-unchanged and AEKO-number linkage rules</t>
  </si>
  <si>
    <t>Outline Concept step 10</t>
  </si>
  <si>
    <t>G-036</t>
  </si>
  <si>
    <t>Supplier response channel implementation (portal vs buyer-upload model)</t>
  </si>
  <si>
    <t>Clarification required</t>
  </si>
  <si>
    <t>Scope changes materially by channel</t>
  </si>
  <si>
    <t>Estimate after customer decision</t>
  </si>
  <si>
    <t>Scope and effort change materially based on the selected operating model.</t>
  </si>
  <si>
    <t>G-037</t>
  </si>
  <si>
    <t>Monday SRM management-update reminder with Thursday due date</t>
  </si>
  <si>
    <t>Outline Concept - SRM step 3</t>
  </si>
  <si>
    <t>G-038</t>
  </si>
  <si>
    <t>Stakeholder-specific weekly alerts from six weeks and sample-receipt dependency</t>
  </si>
  <si>
    <t>Outline Concept - SRM steps 4-5</t>
  </si>
  <si>
    <t>G-039</t>
  </si>
  <si>
    <t>Configurable 19-milestone catalogue and part-level date override</t>
  </si>
  <si>
    <t>F-085/F-101 to F-104</t>
  </si>
  <si>
    <t>G-040</t>
  </si>
  <si>
    <t>Automatic SRM report email circulation and distribution-list management</t>
  </si>
  <si>
    <t>Outline Concept - SRM step 6 / F-116</t>
  </si>
  <si>
    <t>G-041</t>
  </si>
  <si>
    <t>Knowledge ingestion, RAG and vector-search foundation</t>
  </si>
  <si>
    <t>AI assistant foundation</t>
  </si>
  <si>
    <t>G-042</t>
  </si>
  <si>
    <t>Role-aware retrieval, source citations and permission filtering</t>
  </si>
  <si>
    <t>Prevent unauthorized/unsupported responses</t>
  </si>
  <si>
    <t>G-043</t>
  </si>
  <si>
    <t>NL-to-SQL semantic layer, query validation and guardrails</t>
  </si>
  <si>
    <t>Structured price/cost queries</t>
  </si>
  <si>
    <t>G-044</t>
  </si>
  <si>
    <t>AI evaluation dataset, accuracy thresholds and regression suite</t>
  </si>
  <si>
    <t>AI acceptance and annual upgrades</t>
  </si>
  <si>
    <t>G-045</t>
  </si>
  <si>
    <t>Prompt, model, version, approval and feedback governance</t>
  </si>
  <si>
    <t>Vendor vs SAVWIPL model options</t>
  </si>
  <si>
    <t>G-046</t>
  </si>
  <si>
    <t>Forecasting data pipeline, model training, back-testing and business sign-off</t>
  </si>
  <si>
    <t>Commodity/forex/savings/delay models</t>
  </si>
  <si>
    <t>G-047</t>
  </si>
  <si>
    <t>AI monitoring, model drift, usage and cost monitoring</t>
  </si>
  <si>
    <t>Model maintenance and updates</t>
  </si>
  <si>
    <t>G-048</t>
  </si>
  <si>
    <t>Test strategy, test plan, test cases and test-data management</t>
  </si>
  <si>
    <t>QA</t>
  </si>
  <si>
    <t>Project-wide QA</t>
  </si>
  <si>
    <t>G-049</t>
  </si>
  <si>
    <t>Functional, system, integration and regression testing</t>
  </si>
  <si>
    <t>Project-wide QA execution</t>
  </si>
  <si>
    <t>G-050</t>
  </si>
  <si>
    <t>Performance/load testing for concurrency and &lt;30-second response target</t>
  </si>
  <si>
    <t>RFQ Requirements + Statistics rows 33-34</t>
  </si>
  <si>
    <t>G-051</t>
  </si>
  <si>
    <t>Security testing, VAPT, remediation and retest</t>
  </si>
  <si>
    <t>VW Group security</t>
  </si>
  <si>
    <t>G-052</t>
  </si>
  <si>
    <t>Backup, restore, high availability and disaster-recovery design/test</t>
  </si>
  <si>
    <t>On-prem production readiness</t>
  </si>
  <si>
    <t>G-053</t>
  </si>
  <si>
    <t>Browser, iPad, mobile, responsive and accessibility testing</t>
  </si>
  <si>
    <t>RFQ rows 15 and 42</t>
  </si>
  <si>
    <t>G-054</t>
  </si>
  <si>
    <t>AI accuracy, hallucination, authorization and adversarial testing</t>
  </si>
  <si>
    <t>AI production readiness</t>
  </si>
  <si>
    <t>G-055</t>
  </si>
  <si>
    <t>On-prem infrastructure sizing, provisioning, installation and hardening</t>
  </si>
  <si>
    <t>On-prem deployment</t>
  </si>
  <si>
    <t>G-056</t>
  </si>
  <si>
    <t>CI/CD, release management and Dev/Test/UAT/Prod deployment pipeline</t>
  </si>
  <si>
    <t>F-132 omits UAT and pipeline detail</t>
  </si>
  <si>
    <t>G-057</t>
  </si>
  <si>
    <t>Application monitoring, logging, SIEM integration and alerting</t>
  </si>
  <si>
    <t>Operational dashboard foundation</t>
  </si>
  <si>
    <t>G-058</t>
  </si>
  <si>
    <t>Configuration, secrets, certificates, licences and dependency management</t>
  </si>
  <si>
    <t>Production operations</t>
  </si>
  <si>
    <t>G-059</t>
  </si>
  <si>
    <t>End-user training delivery for all user groups</t>
  </si>
  <si>
    <t>RFQ rows 44-46; F-133 covers materials only</t>
  </si>
  <si>
    <t>G-060</t>
  </si>
  <si>
    <t>Administrator, operations and support-team training / knowledge transfer</t>
  </si>
  <si>
    <t>Support handover</t>
  </si>
  <si>
    <t>G-061</t>
  </si>
  <si>
    <t>Technical runbook, SOP, deployment, backup and support documentation</t>
  </si>
  <si>
    <t>Operational handover</t>
  </si>
  <si>
    <t>G-062</t>
  </si>
  <si>
    <t>Cutover planning, go-live command centre and hypercare</t>
  </si>
  <si>
    <t>Support</t>
  </si>
  <si>
    <t>Four-month go-live target</t>
  </si>
  <si>
    <t>G-063</t>
  </si>
  <si>
    <t>10x5 support model, SLA, incident/problem/change process and service desk setup</t>
  </si>
  <si>
    <t>RFQ rows 57-60</t>
  </si>
  <si>
    <t>SAVWIPL AIS – Estimate Review Assumptions &amp; Boundaries</t>
  </si>
  <si>
    <t>Topic</t>
  </si>
  <si>
    <t>Review Assumption / Guidance</t>
  </si>
  <si>
    <t>Working Day</t>
  </si>
  <si>
    <t>1 person-day = 8 person-hours. The workbook has missing day values in rows 2–3 and an hour/day mismatch for F-145, so review totals are normalized from hours.</t>
  </si>
  <si>
    <t>Current Estimate Boundary</t>
  </si>
  <si>
    <t>The existing estimates appear to be feature-build estimates. They do not consistently show BRD, UX, architecture, QA, security, migration, DevOps, project management, training delivery, cutover or support setup.</t>
  </si>
  <si>
    <t>Recommended Feature Estimate</t>
  </si>
  <si>
    <t>Most-likely feature estimates include solution/detail design for the feature, development/configuration, code review, unit testing, developer integration testing and technical documentation.</t>
  </si>
  <si>
    <t>Project-Level Work</t>
  </si>
  <si>
    <t>Coverage Gaps contains delivery work packages that must be planned separately or explicitly decomposed from shared epics. Do not add all 'Partially covered' items without removing overlap.</t>
  </si>
  <si>
    <t>Claude AI Assistance</t>
  </si>
  <si>
    <t>Assumes enterprise use of Claude for analysis, code assistance, test generation and documentation. It does not materially reduce customer approvals, environment access, data cleansing, integration coordination, UAT or production support.</t>
  </si>
  <si>
    <t>AI Saving Expectation</t>
  </si>
  <si>
    <t>The current workbook implies approximately 33.6% saving. For the full enterprise lifecycle, a planning range of roughly 18–28% is more defensible until team maturity and reusable accelerators are demonstrated.</t>
  </si>
  <si>
    <t>Scope Boundary</t>
  </si>
  <si>
    <t>RFQ Management, Supplier Quotations/Comparison/Negotiation/Nomination and the separate Procurement Orders block are not clearly explicit in the RFQ baseline and should be confirmed as optional or included scope.</t>
  </si>
  <si>
    <t>Shared Enablers</t>
  </si>
  <si>
    <t>Master Data Core, Workflow Engine, Dashboards, AI Assistant, Notifications and Security are valid shared components. Module-level rows must represent incremental configuration, not a second full build.</t>
  </si>
  <si>
    <t>Estimate Confidence</t>
  </si>
  <si>
    <t>High = duplicate/error can be objectively identified. Medium = reasonable architectural estimate with open data/integration details. Low = scope or operating model is not confirmed.</t>
  </si>
  <si>
    <t>Contingency</t>
  </si>
  <si>
    <t>After BRD and technical discovery, apply 15–25% contingency to low-confidence integrations, AI/forecasting, migration, security and on-prem infrastructure items.</t>
  </si>
  <si>
    <t>Timeline</t>
  </si>
  <si>
    <t>A four-month go-live is feasible only as a tightly governed phased MVP with parallel workstreams, early infrastructure access, fixed templates, limited integration uncertainty and rapid customer sign-off.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</si>
</sst>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0.0"/>
    <numFmt numFmtId="165" formatCode="0.0%"/>
  </numFmts>
  <fonts count="9">
    <font>
      <sz val="11"/>
      <color theme="1"/>
      <name val="Calibri"/>
    </font>
    <font>
      <b/>
      <sz val="10"/>
      <color rgb="FFFFFFFF"/>
      <name val="Arial"/>
    </font>
    <font>
      <sz val="9"/>
      <color rgb="FF16231C"/>
      <name val="Arial"/>
    </font>
    <font>
      <sz val="10"/>
      <name val="Arial"/>
    </font>
    <font>
      <b/>
      <sz val="10"/>
      <name val="Arial"/>
    </font>
    <font>
      <i/>
      <sz val="9"/>
      <color rgb="FF5C6B60"/>
      <name val="Arial"/>
    </font>
    <font>
      <b/>
      <sz val="11"/>
      <color rgb="FFFFFFFF"/>
      <name val="Calibri"/>
    </font>
    <font>
      <b/>
      <sz val="16"/>
      <color rgb="FFFFFFFF"/>
      <name val="Calibri"/>
    </font>
    <font>
      <i/>
      <sz val="11"/>
      <color rgb="FF0B2E59"/>
      <name val="Calibri"/>
    </font>
  </fonts>
  <fills count="11">
    <fill>
      <patternFill patternType="none"/>
    </fill>
    <fill>
      <patternFill patternType="gray125"/>
    </fill>
    <fill>
      <patternFill patternType="solid">
        <fgColor rgb="FF0E2E22"/>
      </patternFill>
    </fill>
    <fill>
      <patternFill patternType="solid">
        <fgColor rgb="FFDCEFF0"/>
      </patternFill>
    </fill>
    <fill>
      <patternFill patternType="solid">
        <fgColor rgb="FFFBE9E5"/>
      </patternFill>
    </fill>
    <fill>
      <patternFill patternType="solid">
        <fgColor rgb="FFE7E0F2"/>
      </patternFill>
    </fill>
    <fill>
      <patternFill patternType="solid">
        <fgColor rgb="FFEAF6D9"/>
      </patternFill>
    </fill>
    <fill>
      <patternFill patternType="solid">
        <fgColor rgb="FFFCEFD9"/>
      </patternFill>
    </fill>
    <fill>
      <patternFill patternType="solid">
        <fgColor rgb="FF0B2E59"/>
      </patternFill>
    </fill>
    <fill>
      <patternFill patternType="solid">
        <fgColor rgb="FFDCEAF5"/>
      </patternFill>
    </fill>
    <fill>
      <patternFill patternType="solid">
        <fgColor rgb="FF123E73"/>
      </patternFill>
    </fill>
  </fills>
  <borders count="3">
    <border>
      <left/>
      <right/>
      <top/>
      <bottom/>
      <diagonal/>
    </border>
    <border>
      <left style="thin">
        <color rgb="FFC9D6CE"/>
      </left>
      <right style="thin">
        <color rgb="FFC9D6CE"/>
      </right>
      <top style="thin">
        <color rgb="FFC9D6CE"/>
      </top>
      <bottom style="thin">
        <color rgb="FFC9D6CE"/>
      </bottom>
      <diagonal/>
    </border>
    <border>
      <left/>
      <right style="thin">
        <color rgb="FFC9D6CE"/>
      </right>
      <top style="thin">
        <color rgb="FFC9D6CE"/>
      </top>
      <bottom style="thin">
        <color rgb="FFC9D6CE"/>
      </bottom>
      <diagonal/>
    </border>
  </borders>
  <cellStyleXfs count="1">
    <xf numFmtId="0" fontId="0" fillId="0" borderId="0"/>
  </cellStyleXfs>
  <cellXfs count="50">
    <xf numFmtId="0" fontId="0" fillId="0" borderId="0" xfId="0"/>
    <xf numFmtId="0" fontId="5" fillId="0" borderId="0" xfId="0" applyFont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4" fillId="0" borderId="1" xfId="0" applyFont="1" applyBorder="1"/>
    <xf numFmtId="0" fontId="4" fillId="0" borderId="1" xfId="0" applyFont="1" applyBorder="1" applyAlignment="1">
      <alignment horizontal="center"/>
    </xf>
    <xf numFmtId="0" fontId="1" fillId="2" borderId="1" xfId="0" applyFont="1" applyFill="1" applyBorder="1"/>
    <xf numFmtId="0" fontId="3" fillId="0" borderId="1" xfId="0" applyFont="1" applyBorder="1" applyAlignment="1">
      <alignment vertical="top" wrapText="1"/>
    </xf>
    <xf numFmtId="0" fontId="2" fillId="3" borderId="1" xfId="0" applyFont="1" applyFill="1" applyBorder="1" applyAlignment="1">
      <alignment horizontal="left" vertical="top" wrapText="1"/>
    </xf>
    <xf numFmtId="0" fontId="2" fillId="7" borderId="1" xfId="0" applyFont="1" applyFill="1" applyBorder="1" applyAlignment="1">
      <alignment horizontal="left" vertical="top" wrapText="1"/>
    </xf>
    <xf numFmtId="0" fontId="2" fillId="4" borderId="1" xfId="0" applyFont="1" applyFill="1" applyBorder="1" applyAlignment="1">
      <alignment horizontal="left" vertical="top" wrapText="1"/>
    </xf>
    <xf numFmtId="0" fontId="2" fillId="5" borderId="1" xfId="0" applyFont="1" applyFill="1" applyBorder="1" applyAlignment="1">
      <alignment horizontal="left" vertical="top" wrapText="1"/>
    </xf>
    <xf numFmtId="0" fontId="2" fillId="6" borderId="1" xfId="0" applyFont="1" applyFill="1" applyBorder="1" applyAlignment="1">
      <alignment horizontal="left" vertical="top" wrapText="1"/>
    </xf>
    <xf numFmtId="0" fontId="2" fillId="3" borderId="1" xfId="0" applyFont="1" applyFill="1" applyBorder="1" applyAlignment="1">
      <alignment horizontal="center" vertical="top" wrapText="1"/>
    </xf>
    <xf numFmtId="0" fontId="2" fillId="4" borderId="1" xfId="0" applyFont="1" applyFill="1" applyBorder="1" applyAlignment="1">
      <alignment horizontal="center" vertical="top" wrapText="1"/>
    </xf>
    <xf numFmtId="0" fontId="2" fillId="5" borderId="1" xfId="0" applyFont="1" applyFill="1" applyBorder="1" applyAlignment="1">
      <alignment horizontal="center" vertical="top" wrapText="1"/>
    </xf>
    <xf numFmtId="0" fontId="2" fillId="6" borderId="1" xfId="0" applyFont="1" applyFill="1" applyBorder="1" applyAlignment="1">
      <alignment horizontal="center" vertical="top" wrapText="1"/>
    </xf>
    <xf numFmtId="0" fontId="3" fillId="0" borderId="1" xfId="0" applyFont="1" applyBorder="1" applyAlignment="1">
      <alignment horizontal="left" vertical="top" wrapText="1"/>
    </xf>
    <xf numFmtId="1" fontId="0" fillId="0" borderId="0" xfId="0" applyNumberFormat="1"/>
    <xf numFmtId="0" fontId="6" fillId="8" borderId="0" xfId="0" applyFont="1" applyFill="1" applyAlignment="1">
      <alignment horizontal="center" vertical="center" wrapText="1"/>
    </xf>
    <xf numFmtId="0" fontId="0" fillId="0" borderId="0" xfId="0" applyAlignment="1">
      <alignment vertical="top"/>
    </xf>
    <xf numFmtId="0" fontId="0" fillId="0" borderId="0" xfId="0" applyAlignment="1">
      <alignment vertical="top" wrapText="1"/>
    </xf>
    <xf numFmtId="164" fontId="0" fillId="0" borderId="0" xfId="0" applyNumberFormat="1" applyAlignment="1">
      <alignment vertical="top"/>
    </xf>
    <xf numFmtId="164" fontId="0" fillId="0" borderId="0" xfId="0" applyNumberFormat="1" applyAlignment="1">
      <alignment vertical="top" wrapText="1"/>
    </xf>
    <xf numFmtId="0" fontId="0" fillId="0" borderId="0" xfId="0" applyAlignment="1">
      <alignment wrapText="1"/>
    </xf>
    <xf numFmtId="164" fontId="0" fillId="0" borderId="0" xfId="0" applyNumberFormat="1"/>
    <xf numFmtId="165" fontId="0" fillId="0" borderId="0" xfId="0" applyNumberFormat="1"/>
    <xf numFmtId="0" fontId="6" fillId="10" borderId="0" xfId="0" applyFont="1" applyFill="1" applyAlignment="1">
      <alignment horizontal="left" vertical="center"/>
    </xf>
    <xf numFmtId="0" fontId="4" fillId="0" borderId="1" xfId="0" applyFont="1" applyBorder="1" applyAlignment="1">
      <alignment horizontal="center" wrapText="1"/>
    </xf>
    <xf numFmtId="1" fontId="2" fillId="3" borderId="1" xfId="0" applyNumberFormat="1" applyFont="1" applyFill="1" applyBorder="1" applyAlignment="1">
      <alignment horizontal="center" vertical="top" wrapText="1"/>
    </xf>
    <xf numFmtId="0" fontId="2" fillId="7" borderId="1" xfId="0" applyFont="1" applyFill="1" applyBorder="1" applyAlignment="1">
      <alignment horizontal="center" vertical="top" wrapText="1"/>
    </xf>
    <xf numFmtId="0" fontId="3" fillId="3" borderId="1" xfId="0" applyFont="1" applyFill="1" applyBorder="1" applyAlignment="1">
      <alignment horizontal="left" vertical="center"/>
    </xf>
    <xf numFmtId="0" fontId="3" fillId="3" borderId="1" xfId="0" applyFont="1" applyFill="1" applyBorder="1" applyAlignment="1">
      <alignment horizontal="center" vertical="center"/>
    </xf>
    <xf numFmtId="0" fontId="3" fillId="3" borderId="1" xfId="0" applyFont="1" applyFill="1" applyBorder="1" applyAlignment="1">
      <alignment horizontal="center" vertical="center" wrapText="1"/>
    </xf>
    <xf numFmtId="0" fontId="3" fillId="7" borderId="1" xfId="0" applyFont="1" applyFill="1" applyBorder="1" applyAlignment="1">
      <alignment horizontal="left" vertical="center"/>
    </xf>
    <xf numFmtId="0" fontId="3" fillId="7" borderId="1" xfId="0" applyFont="1" applyFill="1" applyBorder="1" applyAlignment="1">
      <alignment horizontal="center" vertical="center"/>
    </xf>
    <xf numFmtId="0" fontId="3" fillId="7" borderId="1" xfId="0" applyFont="1" applyFill="1" applyBorder="1" applyAlignment="1">
      <alignment horizontal="center" vertical="center" wrapText="1"/>
    </xf>
    <xf numFmtId="0" fontId="3" fillId="4" borderId="1" xfId="0" applyFont="1" applyFill="1" applyBorder="1" applyAlignment="1">
      <alignment horizontal="left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 wrapText="1"/>
    </xf>
    <xf numFmtId="0" fontId="3" fillId="5" borderId="1" xfId="0" applyFont="1" applyFill="1" applyBorder="1" applyAlignment="1">
      <alignment horizontal="left" vertical="center"/>
    </xf>
    <xf numFmtId="0" fontId="3" fillId="5" borderId="1" xfId="0" applyFont="1" applyFill="1" applyBorder="1" applyAlignment="1">
      <alignment horizontal="center" vertical="center"/>
    </xf>
    <xf numFmtId="0" fontId="3" fillId="5" borderId="1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center" vertical="center" wrapText="1"/>
    </xf>
    <xf numFmtId="0" fontId="3" fillId="0" borderId="1" xfId="0" applyFont="1" applyBorder="1" applyAlignment="1">
      <alignment horizontal="left" vertical="top" wrapText="1"/>
    </xf>
    <xf numFmtId="0" fontId="7" fillId="8" borderId="0" xfId="0" applyFont="1" applyFill="1" applyAlignment="1">
      <alignment horizontal="left" vertical="center"/>
    </xf>
    <xf numFmtId="0" fontId="8" fillId="9" borderId="0" xfId="0" applyFont="1" applyFill="1" applyAlignment="1">
      <alignment vertical="center" wrapText="1"/>
    </xf>
    <xf numFmtId="0" fontId="6" fillId="10" borderId="0" xfId="0" applyFont="1" applyFill="1" applyAlignment="1">
      <alignment horizontal="left" vertical="center"/>
    </xf>
    <xf numFmtId="0" fontId="0" fillId="0" borderId="2" xfId="0" applyBorder="1" applyAlignment="1"/>
  </cellXfs>
  <cellStyles count="1">
    <cellStyle name="Normal" xfId="0" builtinId="0"/>
  </cellStyles>
  <dxfs count="9">
    <dxf>
      <font>
        <b/>
        <color rgb="FF5B2C83"/>
      </font>
      <fill>
        <patternFill patternType="solid">
          <bgColor rgb="FFF1ECFA"/>
        </patternFill>
      </fill>
    </dxf>
    <dxf>
      <font>
        <b/>
        <color rgb="FF9A4B00"/>
      </font>
      <fill>
        <patternFill patternType="solid">
          <bgColor rgb="FFFFF4E5"/>
        </patternFill>
      </fill>
    </dxf>
    <dxf>
      <font>
        <b/>
        <color rgb="FF9B1C1C"/>
      </font>
      <fill>
        <patternFill patternType="solid">
          <bgColor rgb="FFFDECEC"/>
        </patternFill>
      </fill>
    </dxf>
    <dxf>
      <font>
        <b/>
        <color rgb="FF9F1239"/>
      </font>
      <fill>
        <patternFill patternType="solid">
          <bgColor rgb="FFFFF1F2"/>
        </patternFill>
      </fill>
    </dxf>
    <dxf>
      <font>
        <b/>
        <color rgb="FF555555"/>
      </font>
      <fill>
        <patternFill patternType="solid">
          <bgColor rgb="FFECECEC"/>
        </patternFill>
      </fill>
    </dxf>
    <dxf>
      <font>
        <color rgb="FF5B2C83"/>
      </font>
      <fill>
        <patternFill patternType="solid">
          <bgColor rgb="FFF1ECFA"/>
        </patternFill>
      </fill>
    </dxf>
    <dxf>
      <font>
        <b/>
        <color rgb="FF9A4B00"/>
      </font>
      <fill>
        <patternFill patternType="solid">
          <bgColor rgb="FFFFF4E5"/>
        </patternFill>
      </fill>
    </dxf>
    <dxf>
      <font>
        <color rgb="FF166534"/>
      </font>
      <fill>
        <patternFill patternType="solid">
          <bgColor rgb="FFECF8EE"/>
        </patternFill>
      </fill>
    </dxf>
    <dxf>
      <font>
        <b/>
        <color rgb="FF9B1C1C"/>
      </font>
      <fill>
        <patternFill patternType="solid">
          <bgColor rgb="FFFDECEC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CEFD9"/>
      <rgbColor rgb="FFDCEFF0"/>
      <rgbColor rgb="FF660066"/>
      <rgbColor rgb="FFFF8080"/>
      <rgbColor rgb="FF0066CC"/>
      <rgbColor rgb="FFC9D6CE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E7E0F2"/>
      <rgbColor rgb="FFEAF6D9"/>
      <rgbColor rgb="FFFBE9E5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5C6B60"/>
      <rgbColor rgb="FF969696"/>
      <rgbColor rgb="FF003366"/>
      <rgbColor rgb="FF339966"/>
      <rgbColor rgb="FF0E2E22"/>
      <rgbColor rgb="FF333300"/>
      <rgbColor rgb="FF993300"/>
      <rgbColor rgb="FF993366"/>
      <rgbColor rgb="FF333399"/>
      <rgbColor rgb="FF16231C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calcChain" Target="calcChain.xml"/><Relationship Id="rId5" Type="http://schemas.openxmlformats.org/officeDocument/2006/relationships/worksheet" Target="worksheets/sheet5.xml"/><Relationship Id="rId1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styles" Target="style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c:style val="2"/>
  <c:chart>
    <c:title>
      <c:tx>
        <c:rich>
          <a:bodyPr/>
          <a:lstStyle/>
          <a:p>
            <a:r>
              <a:rPr lang="en-IN"/>
              <a:t>Current vs Reviewed Feature Effort by Module</a:t>
            </a:r>
          </a:p>
        </c:rich>
      </c:tx>
      <c:overlay val="0"/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v>Current Manual PD</c:v>
          </c:tx>
          <c:invertIfNegative val="1"/>
          <c:cat>
            <c:strRef>
              <c:f>'Review Summary'!$A$16:$A$20</c:f>
              <c:strCache>
                <c:ptCount val="5"/>
                <c:pt idx="0">
                  <c:v>Module 1 - Procurement</c:v>
                </c:pt>
                <c:pt idx="1">
                  <c:v>Procurement Orders</c:v>
                </c:pt>
                <c:pt idx="2">
                  <c:v>Module 2 - Technical Change</c:v>
                </c:pt>
                <c:pt idx="3">
                  <c:v>Module 3 - SRM</c:v>
                </c:pt>
                <c:pt idx="4">
                  <c:v>Cross-Cutting Platform</c:v>
                </c:pt>
              </c:strCache>
            </c:strRef>
          </c:cat>
          <c:val>
            <c:numRef>
              <c:f>'Review Summary'!$B$16:$B$20</c:f>
              <c:numCache>
                <c:formatCode>0.0</c:formatCode>
                <c:ptCount val="5"/>
                <c:pt idx="0">
                  <c:v>340</c:v>
                </c:pt>
                <c:pt idx="1">
                  <c:v>34</c:v>
                </c:pt>
                <c:pt idx="2">
                  <c:v>294</c:v>
                </c:pt>
                <c:pt idx="3">
                  <c:v>301</c:v>
                </c:pt>
                <c:pt idx="4">
                  <c:v>235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2EBB-4EBD-98AC-1B122D9E7232}"/>
            </c:ext>
          </c:extLst>
        </c:ser>
        <c:ser>
          <c:idx val="1"/>
          <c:order val="1"/>
          <c:tx>
            <c:v>Current Claude PD</c:v>
          </c:tx>
          <c:invertIfNegative val="1"/>
          <c:cat>
            <c:strRef>
              <c:f>'Review Summary'!$A$16:$A$20</c:f>
              <c:strCache>
                <c:ptCount val="5"/>
                <c:pt idx="0">
                  <c:v>Module 1 - Procurement</c:v>
                </c:pt>
                <c:pt idx="1">
                  <c:v>Procurement Orders</c:v>
                </c:pt>
                <c:pt idx="2">
                  <c:v>Module 2 - Technical Change</c:v>
                </c:pt>
                <c:pt idx="3">
                  <c:v>Module 3 - SRM</c:v>
                </c:pt>
                <c:pt idx="4">
                  <c:v>Cross-Cutting Platform</c:v>
                </c:pt>
              </c:strCache>
            </c:strRef>
          </c:cat>
          <c:val>
            <c:numRef>
              <c:f>'Review Summary'!$C$16:$C$20</c:f>
              <c:numCache>
                <c:formatCode>0.0</c:formatCode>
                <c:ptCount val="5"/>
                <c:pt idx="0">
                  <c:v>213</c:v>
                </c:pt>
                <c:pt idx="1">
                  <c:v>23</c:v>
                </c:pt>
                <c:pt idx="2">
                  <c:v>197</c:v>
                </c:pt>
                <c:pt idx="3">
                  <c:v>185</c:v>
                </c:pt>
                <c:pt idx="4">
                  <c:v>180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2EBB-4EBD-98AC-1B122D9E7232}"/>
            </c:ext>
          </c:extLst>
        </c:ser>
        <c:ser>
          <c:idx val="2"/>
          <c:order val="2"/>
          <c:tx>
            <c:v>Reviewed Manual PD</c:v>
          </c:tx>
          <c:invertIfNegative val="1"/>
          <c:cat>
            <c:strRef>
              <c:f>'Review Summary'!$A$16:$A$20</c:f>
              <c:strCache>
                <c:ptCount val="5"/>
                <c:pt idx="0">
                  <c:v>Module 1 - Procurement</c:v>
                </c:pt>
                <c:pt idx="1">
                  <c:v>Procurement Orders</c:v>
                </c:pt>
                <c:pt idx="2">
                  <c:v>Module 2 - Technical Change</c:v>
                </c:pt>
                <c:pt idx="3">
                  <c:v>Module 3 - SRM</c:v>
                </c:pt>
                <c:pt idx="4">
                  <c:v>Cross-Cutting Platform</c:v>
                </c:pt>
              </c:strCache>
            </c:strRef>
          </c:cat>
          <c:val>
            <c:numRef>
              <c:f>'Review Summary'!$D$16:$D$20</c:f>
              <c:numCache>
                <c:formatCode>0.0</c:formatCode>
                <c:ptCount val="5"/>
                <c:pt idx="0">
                  <c:v>565</c:v>
                </c:pt>
                <c:pt idx="1">
                  <c:v>41</c:v>
                </c:pt>
                <c:pt idx="2">
                  <c:v>455</c:v>
                </c:pt>
                <c:pt idx="3">
                  <c:v>410</c:v>
                </c:pt>
                <c:pt idx="4">
                  <c:v>494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2EBB-4EBD-98AC-1B122D9E7232}"/>
            </c:ext>
          </c:extLst>
        </c:ser>
        <c:ser>
          <c:idx val="3"/>
          <c:order val="3"/>
          <c:tx>
            <c:v>Reviewed Claude PD</c:v>
          </c:tx>
          <c:invertIfNegative val="1"/>
          <c:cat>
            <c:strRef>
              <c:f>'Review Summary'!$A$16:$A$20</c:f>
              <c:strCache>
                <c:ptCount val="5"/>
                <c:pt idx="0">
                  <c:v>Module 1 - Procurement</c:v>
                </c:pt>
                <c:pt idx="1">
                  <c:v>Procurement Orders</c:v>
                </c:pt>
                <c:pt idx="2">
                  <c:v>Module 2 - Technical Change</c:v>
                </c:pt>
                <c:pt idx="3">
                  <c:v>Module 3 - SRM</c:v>
                </c:pt>
                <c:pt idx="4">
                  <c:v>Cross-Cutting Platform</c:v>
                </c:pt>
              </c:strCache>
            </c:strRef>
          </c:cat>
          <c:val>
            <c:numRef>
              <c:f>'Review Summary'!$E$16:$E$20</c:f>
              <c:numCache>
                <c:formatCode>0.0</c:formatCode>
                <c:ptCount val="5"/>
                <c:pt idx="0">
                  <c:v>446</c:v>
                </c:pt>
                <c:pt idx="1">
                  <c:v>31</c:v>
                </c:pt>
                <c:pt idx="2">
                  <c:v>368</c:v>
                </c:pt>
                <c:pt idx="3">
                  <c:v>323</c:v>
                </c:pt>
                <c:pt idx="4">
                  <c:v>430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3-2EBB-4EBD-98AC-1B122D9E7232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axId val="48650112"/>
        <c:axId val="48672768"/>
      </c:barChart>
      <c:catAx>
        <c:axId val="48650112"/>
        <c:scaling>
          <c:orientation val="minMax"/>
        </c:scaling>
        <c:delete val="0"/>
        <c:axPos val="b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General" sourceLinked="1"/>
        <c:majorTickMark val="none"/>
        <c:minorTickMark val="none"/>
        <c:tickLblPos val="nextTo"/>
        <c:crossAx val="48672768"/>
        <c:crosses val="autoZero"/>
        <c:auto val="1"/>
        <c:lblAlgn val="ctr"/>
        <c:lblOffset val="100"/>
        <c:noMultiLvlLbl val="0"/>
      </c:catAx>
      <c:valAx>
        <c:axId val="48672768"/>
        <c:scaling>
          <c:orientation val="minMax"/>
        </c:scaling>
        <c:delete val="0"/>
        <c:axPos val="l"/>
        <c:majorGridlines>
          <c:spPr>
            <a:ln w="9525">
              <a:solidFill>
                <a:srgbClr val="CCCCCC"/>
              </a:solidFill>
              <a:prstDash val="dash"/>
            </a:ln>
          </c:spPr>
        </c:majorGridlines>
        <c:numFmt formatCode="0.0" sourceLinked="1"/>
        <c:majorTickMark val="none"/>
        <c:minorTickMark val="none"/>
        <c:tickLblPos val="nextTo"/>
        <c:crossAx val="48650112"/>
        <c:crosses val="autoZero"/>
        <c:crossBetween val="between"/>
      </c:valAx>
    </c:plotArea>
    <c:legend>
      <c:legendPos val="b"/>
      <c:overlay val="0"/>
    </c:legend>
    <c:plotVisOnly val="1"/>
    <c:dispBlanksAs val="zero"/>
    <c:showDLblsOverMax val="1"/>
  </c:chart>
  <c:spPr>
    <a:ln w="9525">
      <a:solidFill>
        <a:srgbClr val="D9D9D9"/>
      </a:solidFill>
      <a:prstDash val="solid"/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14</xdr:row>
      <xdr:rowOff>0</xdr:rowOff>
    </xdr:from>
    <xdr:to>
      <xdr:col>14</xdr:col>
      <xdr:colOff>0</xdr:colOff>
      <xdr:row>32</xdr:row>
      <xdr:rowOff>0</xdr:rowOff>
    </xdr:to>
    <xdr:graphicFrame macro="">
      <xdr:nvGraphicFramePr>
        <xdr:cNvPr id="2" name="Chart">
          <a:extLst>
            <a:ext uri="{FF2B5EF4-FFF2-40B4-BE49-F238E27FC236}">
              <a16:creationId xmlns:a16="http://schemas.microsoft.com/office/drawing/2014/main" id="{00000000-0008-0000-0300-000002000000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eatureInventory" displayName="FeatureInventory" ref="A1:H137">
  <autoFilter ref="A1:H137" xr:uid="{00000000-0009-0000-0100-000001000000}">
    <filterColumn colId="1">
      <filters>
        <filter val="Module 2 - Technical Change"/>
      </filters>
    </filterColumn>
  </autoFilter>
  <tableColumns count="8">
    <tableColumn id="1" xr3:uid="{00000000-0010-0000-0000-000001000000}" name="Feature ID"/>
    <tableColumn id="2" xr3:uid="{00000000-0010-0000-0000-000002000000}" name="Module"/>
    <tableColumn id="3" xr3:uid="{00000000-0010-0000-0000-000003000000}" name="Stage"/>
    <tableColumn id="4" xr3:uid="{00000000-0010-0000-0000-000004000000}" name="Feature"/>
    <tableColumn id="5" xr3:uid="{00000000-0010-0000-0000-000005000000}" name="What It Does"/>
    <tableColumn id="9" xr3:uid="{00000000-0010-0000-0000-000009000000}" name="Phase"/>
    <tableColumn id="10" xr3:uid="{00000000-0010-0000-0000-00000A000000}" name="Priority (MoSCoW)"/>
    <tableColumn id="11" xr3:uid="{00000000-0010-0000-0000-00000B000000}" name="Complexity (S/M/L)"/>
  </tableColumns>
  <tableStyleInfo showFirstColumn="0" showLastColumn="0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00000000-000C-0000-FFFF-FFFF01000000}" name="FeatureEstimateReviewTable" displayName="FeatureEstimateReviewTable" ref="A1:R151">
  <tableColumns count="18">
    <tableColumn id="1" xr3:uid="{00000000-0010-0000-0100-000001000000}" name="Source Row"/>
    <tableColumn id="2" xr3:uid="{00000000-0010-0000-0100-000002000000}" name="Feature ID"/>
    <tableColumn id="3" xr3:uid="{00000000-0010-0000-0100-000003000000}" name="Module"/>
    <tableColumn id="4" xr3:uid="{00000000-0010-0000-0100-000004000000}" name="Stage"/>
    <tableColumn id="5" xr3:uid="{00000000-0010-0000-0100-000005000000}" name="Feature"/>
    <tableColumn id="6" xr3:uid="{00000000-0010-0000-0100-000006000000}" name="Phase"/>
    <tableColumn id="7" xr3:uid="{00000000-0010-0000-0100-000007000000}" name="Priority"/>
    <tableColumn id="8" xr3:uid="{00000000-0010-0000-0100-000008000000}" name="Complexity"/>
    <tableColumn id="9" xr3:uid="{00000000-0010-0000-0100-000009000000}" name="Current Manual PD_x000a_(Normalized from Hours)"/>
    <tableColumn id="10" xr3:uid="{00000000-0010-0000-0100-00000A000000}" name="Current Claude AI PD_x000a_(Normalized from Hours)"/>
    <tableColumn id="11" xr3:uid="{00000000-0010-0000-0100-00000B000000}" name="Estimate Category"/>
    <tableColumn id="12" xr3:uid="{00000000-0010-0000-0100-00000C000000}" name="Assessment"/>
    <tableColumn id="13" xr3:uid="{00000000-0010-0000-0100-00000D000000}" name="Recommended Manual PD - Low"/>
    <tableColumn id="14" xr3:uid="{00000000-0010-0000-0100-00000E000000}" name="Recommended Manual PD - Most Likely"/>
    <tableColumn id="15" xr3:uid="{00000000-0010-0000-0100-00000F000000}" name="Recommended Manual PD - High"/>
    <tableColumn id="16" xr3:uid="{00000000-0010-0000-0100-000010000000}" name="Recommended Claude AI PD - Most Likely"/>
    <tableColumn id="17" xr3:uid="{00000000-0010-0000-0100-000011000000}" name="Confidence"/>
    <tableColumn id="18" xr3:uid="{00000000-0010-0000-0100-000012000000}" name="Review Rationale"/>
  </tableColumns>
  <tableStyleInfo name="TableStyleMedium2" showFirstColumn="0" showLastColumn="0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00000000-000C-0000-FFFF-FFFF02000000}" name="CoverageGapsTable" displayName="CoverageGapsTable" ref="A1:K64">
  <autoFilter ref="A1:K64" xr:uid="{00000000-000C-0000-FFFF-FFFF02000000}">
    <filterColumn colId="3">
      <filters>
        <filter val="AI/ML"/>
      </filters>
    </filterColumn>
  </autoFilter>
  <tableColumns count="11">
    <tableColumn id="1" xr3:uid="{00000000-0010-0000-0200-000001000000}" name="Gap ID"/>
    <tableColumn id="2" xr3:uid="{00000000-0010-0000-0200-000002000000}" name="Category"/>
    <tableColumn id="3" xr3:uid="{00000000-0010-0000-0200-000003000000}" name="Work Package / Missing Task"/>
    <tableColumn id="4" xr3:uid="{00000000-0010-0000-0200-000004000000}" name="Coverage Status"/>
    <tableColumn id="5" xr3:uid="{00000000-0010-0000-0200-000005000000}" name="Source / Requirement Reference"/>
    <tableColumn id="6" xr3:uid="{00000000-0010-0000-0200-000006000000}" name="Manual PD - Low"/>
    <tableColumn id="7" xr3:uid="{00000000-0010-0000-0200-000007000000}" name="Manual PD - Most Likely"/>
    <tableColumn id="8" xr3:uid="{00000000-0010-0000-0200-000008000000}" name="Manual PD - High"/>
    <tableColumn id="9" xr3:uid="{00000000-0010-0000-0200-000009000000}" name="Claude AI PD - Most Likely"/>
    <tableColumn id="10" xr3:uid="{00000000-0010-0000-0200-00000A000000}" name="Estimate Handling"/>
    <tableColumn id="11" xr3:uid="{00000000-0010-0000-0200-00000B000000}" name="Review Note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solidFill>
          <a:schemeClr val="dk1"/>
        </a:solidFill>
        <a:solidFill>
          <a:schemeClr val="accent1"/>
        </a:solidFill>
      </a:fillStyleLst>
      <a:lnStyleLst>
        <a:ln w="9525">
          <a:prstDash val="solid"/>
        </a:ln>
        <a:ln w="25400">
          <a:prstDash val="solid"/>
        </a:ln>
        <a:ln w="38100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52"/>
  <sheetViews>
    <sheetView tabSelected="1" workbookViewId="0">
      <selection activeCell="N6" sqref="N6"/>
    </sheetView>
  </sheetViews>
  <sheetFormatPr defaultColWidth="8.7109375" defaultRowHeight="15"/>
  <cols>
    <col min="1" max="1" width="9" customWidth="1"/>
    <col min="2" max="3" width="15" customWidth="1"/>
    <col min="4" max="4" width="27.7109375" customWidth="1"/>
    <col min="5" max="5" width="42" customWidth="1"/>
    <col min="6" max="6" width="7" customWidth="1"/>
    <col min="7" max="7" width="12" hidden="1" customWidth="1"/>
    <col min="8" max="8" width="12" customWidth="1"/>
    <col min="9" max="9" width="16" hidden="1" customWidth="1"/>
    <col min="10" max="10" width="20" customWidth="1"/>
    <col min="11" max="11" width="26.85546875" hidden="1" customWidth="1"/>
    <col min="12" max="12" width="27.140625" customWidth="1"/>
  </cols>
  <sheetData>
    <row r="1" spans="1:13" ht="66" customHeight="1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2" t="s">
        <v>10</v>
      </c>
      <c r="L1" s="2" t="s">
        <v>11</v>
      </c>
      <c r="M1" s="2" t="s">
        <v>12</v>
      </c>
    </row>
    <row r="2" spans="1:13" hidden="1">
      <c r="A2" s="12"/>
      <c r="B2" s="12"/>
      <c r="C2" s="12"/>
      <c r="D2" s="7" t="s">
        <v>13</v>
      </c>
      <c r="E2" s="7" t="s">
        <v>14</v>
      </c>
      <c r="F2" s="12">
        <v>1</v>
      </c>
      <c r="G2" s="12"/>
      <c r="H2" s="12" t="s">
        <v>15</v>
      </c>
      <c r="I2" s="12"/>
      <c r="J2" s="12">
        <v>80</v>
      </c>
      <c r="K2" s="12"/>
      <c r="L2" s="12">
        <v>56</v>
      </c>
      <c r="M2" s="12"/>
    </row>
    <row r="3" spans="1:13" hidden="1">
      <c r="A3" s="12"/>
      <c r="B3" s="12"/>
      <c r="C3" s="12"/>
      <c r="D3" s="7" t="s">
        <v>16</v>
      </c>
      <c r="E3" s="7" t="s">
        <v>17</v>
      </c>
      <c r="F3" s="12">
        <v>1</v>
      </c>
      <c r="G3" s="12"/>
      <c r="H3" s="12" t="s">
        <v>18</v>
      </c>
      <c r="I3" s="12"/>
      <c r="J3" s="12">
        <v>160</v>
      </c>
      <c r="K3" s="12"/>
      <c r="L3" s="12">
        <v>120</v>
      </c>
      <c r="M3" s="12"/>
    </row>
    <row r="4" spans="1:13" ht="30.6" hidden="1" customHeight="1">
      <c r="A4" s="12" t="s">
        <v>19</v>
      </c>
      <c r="B4" s="7" t="s">
        <v>20</v>
      </c>
      <c r="C4" s="7" t="s">
        <v>21</v>
      </c>
      <c r="D4" s="7" t="s">
        <v>22</v>
      </c>
      <c r="E4" s="7" t="s">
        <v>23</v>
      </c>
      <c r="F4" s="12" t="s">
        <v>24</v>
      </c>
      <c r="G4" s="12" t="s">
        <v>25</v>
      </c>
      <c r="H4" s="12" t="s">
        <v>26</v>
      </c>
      <c r="I4" s="28">
        <v>5</v>
      </c>
      <c r="J4" s="28">
        <v>40</v>
      </c>
      <c r="K4" s="28">
        <v>3</v>
      </c>
      <c r="L4" s="28">
        <v>24</v>
      </c>
      <c r="M4" s="7"/>
    </row>
    <row r="5" spans="1:13" ht="20.45" hidden="1" customHeight="1">
      <c r="A5" s="12" t="s">
        <v>27</v>
      </c>
      <c r="B5" s="7" t="s">
        <v>20</v>
      </c>
      <c r="C5" s="7" t="s">
        <v>21</v>
      </c>
      <c r="D5" s="7" t="s">
        <v>28</v>
      </c>
      <c r="E5" s="7" t="s">
        <v>29</v>
      </c>
      <c r="F5" s="12" t="s">
        <v>24</v>
      </c>
      <c r="G5" s="12" t="s">
        <v>25</v>
      </c>
      <c r="H5" s="12" t="s">
        <v>18</v>
      </c>
      <c r="I5" s="28">
        <v>12</v>
      </c>
      <c r="J5" s="28">
        <v>96</v>
      </c>
      <c r="K5" s="28">
        <v>7</v>
      </c>
      <c r="L5" s="28">
        <v>56</v>
      </c>
      <c r="M5" s="7"/>
    </row>
    <row r="6" spans="1:13" ht="30.6" hidden="1" customHeight="1">
      <c r="A6" s="12" t="s">
        <v>30</v>
      </c>
      <c r="B6" s="7" t="s">
        <v>20</v>
      </c>
      <c r="C6" s="7" t="s">
        <v>21</v>
      </c>
      <c r="D6" s="7" t="s">
        <v>31</v>
      </c>
      <c r="E6" s="7" t="s">
        <v>32</v>
      </c>
      <c r="F6" s="12" t="s">
        <v>24</v>
      </c>
      <c r="G6" s="12" t="s">
        <v>25</v>
      </c>
      <c r="H6" s="12" t="s">
        <v>18</v>
      </c>
      <c r="I6" s="28">
        <v>15</v>
      </c>
      <c r="J6" s="28">
        <v>120</v>
      </c>
      <c r="K6" s="28">
        <v>8</v>
      </c>
      <c r="L6" s="28">
        <v>64</v>
      </c>
      <c r="M6" s="7"/>
    </row>
    <row r="7" spans="1:13" ht="20.45" hidden="1" customHeight="1">
      <c r="A7" s="12" t="s">
        <v>33</v>
      </c>
      <c r="B7" s="7" t="s">
        <v>20</v>
      </c>
      <c r="C7" s="7" t="s">
        <v>21</v>
      </c>
      <c r="D7" s="7" t="s">
        <v>34</v>
      </c>
      <c r="E7" s="7" t="s">
        <v>35</v>
      </c>
      <c r="F7" s="12" t="s">
        <v>24</v>
      </c>
      <c r="G7" s="12" t="s">
        <v>25</v>
      </c>
      <c r="H7" s="12" t="s">
        <v>26</v>
      </c>
      <c r="I7" s="28">
        <v>6</v>
      </c>
      <c r="J7" s="28">
        <v>48</v>
      </c>
      <c r="K7" s="28">
        <v>3</v>
      </c>
      <c r="L7" s="28">
        <v>24</v>
      </c>
      <c r="M7" s="7"/>
    </row>
    <row r="8" spans="1:13" ht="30.6" hidden="1" customHeight="1">
      <c r="A8" s="12" t="s">
        <v>36</v>
      </c>
      <c r="B8" s="7" t="s">
        <v>20</v>
      </c>
      <c r="C8" s="7" t="s">
        <v>21</v>
      </c>
      <c r="D8" s="7" t="s">
        <v>37</v>
      </c>
      <c r="E8" s="7" t="s">
        <v>38</v>
      </c>
      <c r="F8" s="12" t="s">
        <v>24</v>
      </c>
      <c r="G8" s="12" t="s">
        <v>25</v>
      </c>
      <c r="H8" s="12" t="s">
        <v>18</v>
      </c>
      <c r="I8" s="28">
        <v>10</v>
      </c>
      <c r="J8" s="28">
        <v>80</v>
      </c>
      <c r="K8" s="28">
        <v>7</v>
      </c>
      <c r="L8" s="28">
        <v>56</v>
      </c>
      <c r="M8" s="7"/>
    </row>
    <row r="9" spans="1:13" ht="30.6" hidden="1" customHeight="1">
      <c r="A9" s="12" t="s">
        <v>39</v>
      </c>
      <c r="B9" s="7" t="s">
        <v>20</v>
      </c>
      <c r="C9" s="7" t="s">
        <v>40</v>
      </c>
      <c r="D9" s="7" t="s">
        <v>41</v>
      </c>
      <c r="E9" s="7" t="s">
        <v>42</v>
      </c>
      <c r="F9" s="12" t="s">
        <v>24</v>
      </c>
      <c r="G9" s="12" t="s">
        <v>25</v>
      </c>
      <c r="H9" s="12" t="s">
        <v>18</v>
      </c>
      <c r="I9" s="28">
        <v>18</v>
      </c>
      <c r="J9" s="28">
        <v>144</v>
      </c>
      <c r="K9" s="28">
        <v>11</v>
      </c>
      <c r="L9" s="28">
        <v>88</v>
      </c>
      <c r="M9" s="7"/>
    </row>
    <row r="10" spans="1:13" ht="20.45" hidden="1" customHeight="1">
      <c r="A10" s="12" t="s">
        <v>43</v>
      </c>
      <c r="B10" s="7" t="s">
        <v>20</v>
      </c>
      <c r="C10" s="7" t="s">
        <v>40</v>
      </c>
      <c r="D10" s="7" t="s">
        <v>44</v>
      </c>
      <c r="E10" s="7" t="s">
        <v>45</v>
      </c>
      <c r="F10" s="12" t="s">
        <v>24</v>
      </c>
      <c r="G10" s="12" t="s">
        <v>46</v>
      </c>
      <c r="H10" s="12" t="s">
        <v>26</v>
      </c>
      <c r="I10" s="28">
        <v>7</v>
      </c>
      <c r="J10" s="28">
        <v>56</v>
      </c>
      <c r="K10" s="28">
        <v>5</v>
      </c>
      <c r="L10" s="28">
        <v>40</v>
      </c>
      <c r="M10" s="7"/>
    </row>
    <row r="11" spans="1:13" ht="20.45" hidden="1" customHeight="1">
      <c r="A11" s="12" t="s">
        <v>47</v>
      </c>
      <c r="B11" s="7" t="s">
        <v>20</v>
      </c>
      <c r="C11" s="7" t="s">
        <v>40</v>
      </c>
      <c r="D11" s="7" t="s">
        <v>48</v>
      </c>
      <c r="E11" s="7" t="s">
        <v>49</v>
      </c>
      <c r="F11" s="12" t="s">
        <v>24</v>
      </c>
      <c r="G11" s="12" t="s">
        <v>46</v>
      </c>
      <c r="H11" s="12" t="s">
        <v>26</v>
      </c>
      <c r="I11" s="28">
        <v>6</v>
      </c>
      <c r="J11" s="28">
        <v>48</v>
      </c>
      <c r="K11" s="28">
        <v>4</v>
      </c>
      <c r="L11" s="28">
        <v>32</v>
      </c>
      <c r="M11" s="7"/>
    </row>
    <row r="12" spans="1:13" ht="20.45" hidden="1" customHeight="1">
      <c r="A12" s="12" t="s">
        <v>50</v>
      </c>
      <c r="B12" s="7" t="s">
        <v>20</v>
      </c>
      <c r="C12" s="7" t="s">
        <v>40</v>
      </c>
      <c r="D12" s="7" t="s">
        <v>51</v>
      </c>
      <c r="E12" s="7" t="s">
        <v>52</v>
      </c>
      <c r="F12" s="12" t="s">
        <v>24</v>
      </c>
      <c r="G12" s="12" t="s">
        <v>46</v>
      </c>
      <c r="H12" s="12" t="s">
        <v>15</v>
      </c>
      <c r="I12" s="28">
        <v>4</v>
      </c>
      <c r="J12" s="28">
        <v>32</v>
      </c>
      <c r="K12" s="28">
        <v>2</v>
      </c>
      <c r="L12" s="28">
        <v>16</v>
      </c>
      <c r="M12" s="7"/>
    </row>
    <row r="13" spans="1:13" ht="20.45" hidden="1" customHeight="1">
      <c r="A13" s="12" t="s">
        <v>53</v>
      </c>
      <c r="B13" s="7" t="s">
        <v>20</v>
      </c>
      <c r="C13" s="7" t="s">
        <v>40</v>
      </c>
      <c r="D13" s="7" t="s">
        <v>54</v>
      </c>
      <c r="E13" s="7" t="s">
        <v>55</v>
      </c>
      <c r="F13" s="12" t="s">
        <v>24</v>
      </c>
      <c r="G13" s="12" t="s">
        <v>25</v>
      </c>
      <c r="H13" s="12" t="s">
        <v>26</v>
      </c>
      <c r="I13" s="28">
        <v>5</v>
      </c>
      <c r="J13" s="28">
        <v>40</v>
      </c>
      <c r="K13" s="28">
        <v>3</v>
      </c>
      <c r="L13" s="28">
        <v>24</v>
      </c>
      <c r="M13" s="7"/>
    </row>
    <row r="14" spans="1:13" ht="20.45" hidden="1" customHeight="1">
      <c r="A14" s="12" t="s">
        <v>56</v>
      </c>
      <c r="B14" s="7" t="s">
        <v>20</v>
      </c>
      <c r="C14" s="7" t="s">
        <v>40</v>
      </c>
      <c r="D14" s="7" t="s">
        <v>57</v>
      </c>
      <c r="E14" s="7" t="s">
        <v>58</v>
      </c>
      <c r="F14" s="12" t="s">
        <v>24</v>
      </c>
      <c r="G14" s="12" t="s">
        <v>25</v>
      </c>
      <c r="H14" s="12" t="s">
        <v>26</v>
      </c>
      <c r="I14" s="28">
        <v>6</v>
      </c>
      <c r="J14" s="28">
        <v>48</v>
      </c>
      <c r="K14" s="28">
        <v>4</v>
      </c>
      <c r="L14" s="28">
        <v>32</v>
      </c>
      <c r="M14" s="7"/>
    </row>
    <row r="15" spans="1:13" ht="40.9" hidden="1" customHeight="1">
      <c r="A15" s="12" t="s">
        <v>59</v>
      </c>
      <c r="B15" s="7" t="s">
        <v>20</v>
      </c>
      <c r="C15" s="7" t="s">
        <v>60</v>
      </c>
      <c r="D15" s="7" t="s">
        <v>61</v>
      </c>
      <c r="E15" s="7" t="s">
        <v>62</v>
      </c>
      <c r="F15" s="12" t="s">
        <v>24</v>
      </c>
      <c r="G15" s="12" t="s">
        <v>25</v>
      </c>
      <c r="H15" s="12" t="s">
        <v>18</v>
      </c>
      <c r="I15" s="28">
        <v>18</v>
      </c>
      <c r="J15" s="28">
        <v>144</v>
      </c>
      <c r="K15" s="28">
        <v>13</v>
      </c>
      <c r="L15" s="28">
        <v>104</v>
      </c>
      <c r="M15" s="7"/>
    </row>
    <row r="16" spans="1:13" ht="20.45" hidden="1" customHeight="1">
      <c r="A16" s="12" t="s">
        <v>63</v>
      </c>
      <c r="B16" s="7" t="s">
        <v>20</v>
      </c>
      <c r="C16" s="7" t="s">
        <v>60</v>
      </c>
      <c r="D16" s="7" t="s">
        <v>64</v>
      </c>
      <c r="E16" s="7" t="s">
        <v>65</v>
      </c>
      <c r="F16" s="12" t="s">
        <v>24</v>
      </c>
      <c r="G16" s="12" t="s">
        <v>25</v>
      </c>
      <c r="H16" s="12" t="s">
        <v>26</v>
      </c>
      <c r="I16" s="28">
        <v>7</v>
      </c>
      <c r="J16" s="28">
        <v>56</v>
      </c>
      <c r="K16" s="28">
        <v>4</v>
      </c>
      <c r="L16" s="28">
        <v>32</v>
      </c>
      <c r="M16" s="7"/>
    </row>
    <row r="17" spans="1:13" ht="20.45" hidden="1" customHeight="1">
      <c r="A17" s="12" t="s">
        <v>66</v>
      </c>
      <c r="B17" s="7" t="s">
        <v>20</v>
      </c>
      <c r="C17" s="7" t="s">
        <v>60</v>
      </c>
      <c r="D17" s="7" t="s">
        <v>67</v>
      </c>
      <c r="E17" s="7" t="s">
        <v>68</v>
      </c>
      <c r="F17" s="12" t="s">
        <v>24</v>
      </c>
      <c r="G17" s="12" t="s">
        <v>25</v>
      </c>
      <c r="H17" s="12" t="s">
        <v>26</v>
      </c>
      <c r="I17" s="28">
        <v>6</v>
      </c>
      <c r="J17" s="28">
        <v>48</v>
      </c>
      <c r="K17" s="28">
        <v>3</v>
      </c>
      <c r="L17" s="28">
        <v>24</v>
      </c>
      <c r="M17" s="7"/>
    </row>
    <row r="18" spans="1:13" ht="20.45" hidden="1" customHeight="1">
      <c r="A18" s="12" t="s">
        <v>69</v>
      </c>
      <c r="B18" s="7" t="s">
        <v>20</v>
      </c>
      <c r="C18" s="7" t="s">
        <v>60</v>
      </c>
      <c r="D18" s="7" t="s">
        <v>70</v>
      </c>
      <c r="E18" s="7" t="s">
        <v>71</v>
      </c>
      <c r="F18" s="12" t="s">
        <v>24</v>
      </c>
      <c r="G18" s="12" t="s">
        <v>25</v>
      </c>
      <c r="H18" s="12" t="s">
        <v>26</v>
      </c>
      <c r="I18" s="28">
        <v>6</v>
      </c>
      <c r="J18" s="28">
        <v>48</v>
      </c>
      <c r="K18" s="28">
        <v>3</v>
      </c>
      <c r="L18" s="28">
        <v>24</v>
      </c>
      <c r="M18" s="7"/>
    </row>
    <row r="19" spans="1:13" ht="20.45" hidden="1" customHeight="1">
      <c r="A19" s="12" t="s">
        <v>72</v>
      </c>
      <c r="B19" s="7" t="s">
        <v>20</v>
      </c>
      <c r="C19" s="7" t="s">
        <v>60</v>
      </c>
      <c r="D19" s="7" t="s">
        <v>73</v>
      </c>
      <c r="E19" s="7" t="s">
        <v>74</v>
      </c>
      <c r="F19" s="12" t="s">
        <v>24</v>
      </c>
      <c r="G19" s="12" t="s">
        <v>25</v>
      </c>
      <c r="H19" s="12" t="s">
        <v>26</v>
      </c>
      <c r="I19" s="28">
        <v>6</v>
      </c>
      <c r="J19" s="28">
        <v>48</v>
      </c>
      <c r="K19" s="28">
        <v>3</v>
      </c>
      <c r="L19" s="28">
        <v>24</v>
      </c>
      <c r="M19" s="7"/>
    </row>
    <row r="20" spans="1:13" ht="20.45" hidden="1" customHeight="1">
      <c r="A20" s="12" t="s">
        <v>75</v>
      </c>
      <c r="B20" s="7" t="s">
        <v>20</v>
      </c>
      <c r="C20" s="7" t="s">
        <v>60</v>
      </c>
      <c r="D20" s="7" t="s">
        <v>76</v>
      </c>
      <c r="E20" s="7" t="s">
        <v>77</v>
      </c>
      <c r="F20" s="12" t="s">
        <v>24</v>
      </c>
      <c r="G20" s="12" t="s">
        <v>25</v>
      </c>
      <c r="H20" s="12" t="s">
        <v>26</v>
      </c>
      <c r="I20" s="28">
        <v>6</v>
      </c>
      <c r="J20" s="28">
        <v>48</v>
      </c>
      <c r="K20" s="28">
        <v>3</v>
      </c>
      <c r="L20" s="28">
        <v>24</v>
      </c>
      <c r="M20" s="7"/>
    </row>
    <row r="21" spans="1:13" ht="20.45" hidden="1" customHeight="1">
      <c r="A21" s="12" t="s">
        <v>78</v>
      </c>
      <c r="B21" s="7" t="s">
        <v>20</v>
      </c>
      <c r="C21" s="7" t="s">
        <v>60</v>
      </c>
      <c r="D21" s="7" t="s">
        <v>79</v>
      </c>
      <c r="E21" s="7" t="s">
        <v>80</v>
      </c>
      <c r="F21" s="12" t="s">
        <v>24</v>
      </c>
      <c r="G21" s="12" t="s">
        <v>25</v>
      </c>
      <c r="H21" s="12" t="s">
        <v>26</v>
      </c>
      <c r="I21" s="28">
        <v>5</v>
      </c>
      <c r="J21" s="28">
        <v>40</v>
      </c>
      <c r="K21" s="28">
        <v>3</v>
      </c>
      <c r="L21" s="28">
        <v>24</v>
      </c>
      <c r="M21" s="7"/>
    </row>
    <row r="22" spans="1:13" ht="20.45" hidden="1" customHeight="1">
      <c r="A22" s="12" t="s">
        <v>81</v>
      </c>
      <c r="B22" s="7" t="s">
        <v>20</v>
      </c>
      <c r="C22" s="7" t="s">
        <v>60</v>
      </c>
      <c r="D22" s="7" t="s">
        <v>82</v>
      </c>
      <c r="E22" s="7" t="s">
        <v>83</v>
      </c>
      <c r="F22" s="12" t="s">
        <v>24</v>
      </c>
      <c r="G22" s="12" t="s">
        <v>46</v>
      </c>
      <c r="H22" s="12" t="s">
        <v>26</v>
      </c>
      <c r="I22" s="28">
        <v>5</v>
      </c>
      <c r="J22" s="28">
        <v>40</v>
      </c>
      <c r="K22" s="28">
        <v>3</v>
      </c>
      <c r="L22" s="28">
        <v>24</v>
      </c>
      <c r="M22" s="7"/>
    </row>
    <row r="23" spans="1:13" ht="20.45" hidden="1" customHeight="1">
      <c r="A23" s="12" t="s">
        <v>84</v>
      </c>
      <c r="B23" s="7" t="s">
        <v>20</v>
      </c>
      <c r="C23" s="7" t="s">
        <v>60</v>
      </c>
      <c r="D23" s="7" t="s">
        <v>85</v>
      </c>
      <c r="E23" s="7" t="s">
        <v>86</v>
      </c>
      <c r="F23" s="12" t="s">
        <v>24</v>
      </c>
      <c r="G23" s="12" t="s">
        <v>25</v>
      </c>
      <c r="H23" s="12" t="s">
        <v>18</v>
      </c>
      <c r="I23" s="28">
        <v>12</v>
      </c>
      <c r="J23" s="28">
        <v>96</v>
      </c>
      <c r="K23" s="28">
        <v>8</v>
      </c>
      <c r="L23" s="28">
        <v>64</v>
      </c>
      <c r="M23" s="7"/>
    </row>
    <row r="24" spans="1:13" ht="20.45" hidden="1" customHeight="1">
      <c r="A24" s="12" t="s">
        <v>87</v>
      </c>
      <c r="B24" s="7" t="s">
        <v>20</v>
      </c>
      <c r="C24" s="7" t="s">
        <v>88</v>
      </c>
      <c r="D24" s="7" t="s">
        <v>89</v>
      </c>
      <c r="E24" s="7" t="s">
        <v>90</v>
      </c>
      <c r="F24" s="12" t="s">
        <v>24</v>
      </c>
      <c r="G24" s="12" t="s">
        <v>25</v>
      </c>
      <c r="H24" s="12" t="s">
        <v>26</v>
      </c>
      <c r="I24" s="28">
        <v>6</v>
      </c>
      <c r="J24" s="28">
        <v>48</v>
      </c>
      <c r="K24" s="28">
        <v>4</v>
      </c>
      <c r="L24" s="28">
        <v>32</v>
      </c>
      <c r="M24" s="7"/>
    </row>
    <row r="25" spans="1:13" ht="20.45" hidden="1" customHeight="1">
      <c r="A25" s="12" t="s">
        <v>91</v>
      </c>
      <c r="B25" s="7" t="s">
        <v>20</v>
      </c>
      <c r="C25" s="7" t="s">
        <v>88</v>
      </c>
      <c r="D25" s="7" t="s">
        <v>92</v>
      </c>
      <c r="E25" s="7" t="s">
        <v>93</v>
      </c>
      <c r="F25" s="12" t="s">
        <v>24</v>
      </c>
      <c r="G25" s="12" t="s">
        <v>25</v>
      </c>
      <c r="H25" s="12" t="s">
        <v>26</v>
      </c>
      <c r="I25" s="28">
        <v>5</v>
      </c>
      <c r="J25" s="28">
        <v>40</v>
      </c>
      <c r="K25" s="28">
        <v>3</v>
      </c>
      <c r="L25" s="28">
        <v>24</v>
      </c>
      <c r="M25" s="7"/>
    </row>
    <row r="26" spans="1:13" ht="20.45" hidden="1" customHeight="1">
      <c r="A26" s="12" t="s">
        <v>94</v>
      </c>
      <c r="B26" s="7" t="s">
        <v>20</v>
      </c>
      <c r="C26" s="7" t="s">
        <v>88</v>
      </c>
      <c r="D26" s="7" t="s">
        <v>95</v>
      </c>
      <c r="E26" s="7" t="s">
        <v>96</v>
      </c>
      <c r="F26" s="12" t="s">
        <v>24</v>
      </c>
      <c r="G26" s="12" t="s">
        <v>25</v>
      </c>
      <c r="H26" s="12" t="s">
        <v>26</v>
      </c>
      <c r="I26" s="28">
        <v>5</v>
      </c>
      <c r="J26" s="28">
        <v>40</v>
      </c>
      <c r="K26" s="28">
        <v>3</v>
      </c>
      <c r="L26" s="28">
        <v>24</v>
      </c>
      <c r="M26" s="7"/>
    </row>
    <row r="27" spans="1:13" ht="20.45" hidden="1" customHeight="1">
      <c r="A27" s="12" t="s">
        <v>97</v>
      </c>
      <c r="B27" s="7" t="s">
        <v>20</v>
      </c>
      <c r="C27" s="7" t="s">
        <v>88</v>
      </c>
      <c r="D27" s="7" t="s">
        <v>98</v>
      </c>
      <c r="E27" s="7" t="s">
        <v>99</v>
      </c>
      <c r="F27" s="12" t="s">
        <v>24</v>
      </c>
      <c r="G27" s="12" t="s">
        <v>25</v>
      </c>
      <c r="H27" s="12" t="s">
        <v>18</v>
      </c>
      <c r="I27" s="28">
        <v>10</v>
      </c>
      <c r="J27" s="28">
        <v>80</v>
      </c>
      <c r="K27" s="28">
        <v>7</v>
      </c>
      <c r="L27" s="28">
        <v>56</v>
      </c>
      <c r="M27" s="7"/>
    </row>
    <row r="28" spans="1:13" ht="20.45" hidden="1" customHeight="1">
      <c r="A28" s="12" t="s">
        <v>100</v>
      </c>
      <c r="B28" s="7" t="s">
        <v>20</v>
      </c>
      <c r="C28" s="7" t="s">
        <v>88</v>
      </c>
      <c r="D28" s="7" t="s">
        <v>101</v>
      </c>
      <c r="E28" s="7" t="s">
        <v>102</v>
      </c>
      <c r="F28" s="12" t="s">
        <v>24</v>
      </c>
      <c r="G28" s="12" t="s">
        <v>46</v>
      </c>
      <c r="H28" s="12" t="s">
        <v>26</v>
      </c>
      <c r="I28" s="28">
        <v>6</v>
      </c>
      <c r="J28" s="28">
        <v>48</v>
      </c>
      <c r="K28" s="28">
        <v>3</v>
      </c>
      <c r="L28" s="28">
        <v>24</v>
      </c>
      <c r="M28" s="7"/>
    </row>
    <row r="29" spans="1:13" ht="20.45" hidden="1" customHeight="1">
      <c r="A29" s="12" t="s">
        <v>103</v>
      </c>
      <c r="B29" s="7" t="s">
        <v>20</v>
      </c>
      <c r="C29" s="7" t="s">
        <v>88</v>
      </c>
      <c r="D29" s="7" t="s">
        <v>104</v>
      </c>
      <c r="E29" s="7" t="s">
        <v>105</v>
      </c>
      <c r="F29" s="12" t="s">
        <v>24</v>
      </c>
      <c r="G29" s="12" t="s">
        <v>25</v>
      </c>
      <c r="H29" s="12" t="s">
        <v>15</v>
      </c>
      <c r="I29" s="28">
        <v>4</v>
      </c>
      <c r="J29" s="28">
        <v>32</v>
      </c>
      <c r="K29" s="28">
        <v>2</v>
      </c>
      <c r="L29" s="28">
        <v>16</v>
      </c>
      <c r="M29" s="7"/>
    </row>
    <row r="30" spans="1:13" ht="20.45" hidden="1" customHeight="1">
      <c r="A30" s="12" t="s">
        <v>106</v>
      </c>
      <c r="B30" s="7" t="s">
        <v>20</v>
      </c>
      <c r="C30" s="7" t="s">
        <v>88</v>
      </c>
      <c r="D30" s="7" t="s">
        <v>107</v>
      </c>
      <c r="E30" s="7" t="s">
        <v>108</v>
      </c>
      <c r="F30" s="12" t="s">
        <v>24</v>
      </c>
      <c r="G30" s="12" t="s">
        <v>25</v>
      </c>
      <c r="H30" s="12" t="s">
        <v>26</v>
      </c>
      <c r="I30" s="28">
        <v>6</v>
      </c>
      <c r="J30" s="28">
        <v>48</v>
      </c>
      <c r="K30" s="28">
        <v>4</v>
      </c>
      <c r="L30" s="28">
        <v>32</v>
      </c>
      <c r="M30" s="7"/>
    </row>
    <row r="31" spans="1:13" ht="20.45" hidden="1" customHeight="1">
      <c r="A31" s="12" t="s">
        <v>109</v>
      </c>
      <c r="B31" s="7" t="s">
        <v>20</v>
      </c>
      <c r="C31" s="7" t="s">
        <v>88</v>
      </c>
      <c r="D31" s="7" t="s">
        <v>110</v>
      </c>
      <c r="E31" s="7" t="s">
        <v>111</v>
      </c>
      <c r="F31" s="12" t="s">
        <v>24</v>
      </c>
      <c r="G31" s="12" t="s">
        <v>25</v>
      </c>
      <c r="H31" s="12" t="s">
        <v>15</v>
      </c>
      <c r="I31" s="28">
        <v>4</v>
      </c>
      <c r="J31" s="28">
        <v>32</v>
      </c>
      <c r="K31" s="28">
        <v>2</v>
      </c>
      <c r="L31" s="28">
        <v>16</v>
      </c>
      <c r="M31" s="7"/>
    </row>
    <row r="32" spans="1:13" ht="30.6" hidden="1" customHeight="1">
      <c r="A32" s="12" t="s">
        <v>112</v>
      </c>
      <c r="B32" s="7" t="s">
        <v>20</v>
      </c>
      <c r="C32" s="7" t="s">
        <v>113</v>
      </c>
      <c r="D32" s="7" t="s">
        <v>114</v>
      </c>
      <c r="E32" s="7" t="s">
        <v>115</v>
      </c>
      <c r="F32" s="12" t="s">
        <v>24</v>
      </c>
      <c r="G32" s="12" t="s">
        <v>25</v>
      </c>
      <c r="H32" s="12" t="s">
        <v>26</v>
      </c>
      <c r="I32" s="28">
        <v>8</v>
      </c>
      <c r="J32" s="28">
        <v>64</v>
      </c>
      <c r="K32" s="28">
        <v>5</v>
      </c>
      <c r="L32" s="28">
        <v>40</v>
      </c>
      <c r="M32" s="7"/>
    </row>
    <row r="33" spans="1:13" ht="20.45" hidden="1" customHeight="1">
      <c r="A33" s="12" t="s">
        <v>116</v>
      </c>
      <c r="B33" s="7" t="s">
        <v>20</v>
      </c>
      <c r="C33" s="7" t="s">
        <v>113</v>
      </c>
      <c r="D33" s="7" t="s">
        <v>117</v>
      </c>
      <c r="E33" s="7" t="s">
        <v>118</v>
      </c>
      <c r="F33" s="12" t="s">
        <v>24</v>
      </c>
      <c r="G33" s="12" t="s">
        <v>25</v>
      </c>
      <c r="H33" s="12" t="s">
        <v>26</v>
      </c>
      <c r="I33" s="28">
        <v>7</v>
      </c>
      <c r="J33" s="28">
        <v>56</v>
      </c>
      <c r="K33" s="28">
        <v>4</v>
      </c>
      <c r="L33" s="28">
        <v>32</v>
      </c>
      <c r="M33" s="7"/>
    </row>
    <row r="34" spans="1:13" ht="20.45" hidden="1" customHeight="1">
      <c r="A34" s="12" t="s">
        <v>119</v>
      </c>
      <c r="B34" s="7" t="s">
        <v>20</v>
      </c>
      <c r="C34" s="7" t="s">
        <v>113</v>
      </c>
      <c r="D34" s="7" t="s">
        <v>120</v>
      </c>
      <c r="E34" s="7" t="s">
        <v>121</v>
      </c>
      <c r="F34" s="12" t="s">
        <v>24</v>
      </c>
      <c r="G34" s="12" t="s">
        <v>25</v>
      </c>
      <c r="H34" s="12" t="s">
        <v>15</v>
      </c>
      <c r="I34" s="28">
        <v>5</v>
      </c>
      <c r="J34" s="28">
        <v>40</v>
      </c>
      <c r="K34" s="28">
        <v>3</v>
      </c>
      <c r="L34" s="28">
        <v>24</v>
      </c>
      <c r="M34" s="7"/>
    </row>
    <row r="35" spans="1:13" ht="30.6" hidden="1" customHeight="1">
      <c r="A35" s="12" t="s">
        <v>122</v>
      </c>
      <c r="B35" s="7" t="s">
        <v>20</v>
      </c>
      <c r="C35" s="7" t="s">
        <v>113</v>
      </c>
      <c r="D35" s="7" t="s">
        <v>123</v>
      </c>
      <c r="E35" s="7" t="s">
        <v>124</v>
      </c>
      <c r="F35" s="12" t="s">
        <v>24</v>
      </c>
      <c r="G35" s="12" t="s">
        <v>25</v>
      </c>
      <c r="H35" s="12" t="s">
        <v>18</v>
      </c>
      <c r="I35" s="28">
        <v>25</v>
      </c>
      <c r="J35" s="28">
        <v>200</v>
      </c>
      <c r="K35" s="28">
        <v>18</v>
      </c>
      <c r="L35" s="28">
        <v>144</v>
      </c>
      <c r="M35" s="7"/>
    </row>
    <row r="36" spans="1:13" ht="20.45" hidden="1" customHeight="1">
      <c r="A36" s="12" t="s">
        <v>125</v>
      </c>
      <c r="B36" s="7" t="s">
        <v>20</v>
      </c>
      <c r="C36" s="7" t="s">
        <v>113</v>
      </c>
      <c r="D36" s="7" t="s">
        <v>126</v>
      </c>
      <c r="E36" s="7" t="s">
        <v>127</v>
      </c>
      <c r="F36" s="12" t="s">
        <v>128</v>
      </c>
      <c r="G36" s="12" t="s">
        <v>25</v>
      </c>
      <c r="H36" s="12" t="s">
        <v>18</v>
      </c>
      <c r="I36" s="28">
        <v>20</v>
      </c>
      <c r="J36" s="28">
        <v>160</v>
      </c>
      <c r="K36" s="28">
        <v>14</v>
      </c>
      <c r="L36" s="28">
        <v>112</v>
      </c>
      <c r="M36" s="7"/>
    </row>
    <row r="37" spans="1:13" ht="20.45" hidden="1" customHeight="1">
      <c r="A37" s="12" t="s">
        <v>129</v>
      </c>
      <c r="B37" s="7" t="s">
        <v>20</v>
      </c>
      <c r="C37" s="7" t="s">
        <v>113</v>
      </c>
      <c r="D37" s="7" t="s">
        <v>130</v>
      </c>
      <c r="E37" s="7" t="s">
        <v>131</v>
      </c>
      <c r="F37" s="12" t="s">
        <v>24</v>
      </c>
      <c r="G37" s="12" t="s">
        <v>132</v>
      </c>
      <c r="H37" s="12" t="s">
        <v>18</v>
      </c>
      <c r="I37" s="28">
        <v>18</v>
      </c>
      <c r="J37" s="28">
        <v>144</v>
      </c>
      <c r="K37" s="28">
        <v>13</v>
      </c>
      <c r="L37" s="28">
        <v>104</v>
      </c>
      <c r="M37" s="7"/>
    </row>
    <row r="38" spans="1:13" ht="20.45" hidden="1" customHeight="1">
      <c r="A38" s="12" t="s">
        <v>133</v>
      </c>
      <c r="B38" s="7" t="s">
        <v>20</v>
      </c>
      <c r="C38" s="7" t="s">
        <v>113</v>
      </c>
      <c r="D38" s="7" t="s">
        <v>134</v>
      </c>
      <c r="E38" s="7" t="s">
        <v>135</v>
      </c>
      <c r="F38" s="12" t="s">
        <v>24</v>
      </c>
      <c r="G38" s="12" t="s">
        <v>25</v>
      </c>
      <c r="H38" s="12" t="s">
        <v>18</v>
      </c>
      <c r="I38" s="28">
        <v>12</v>
      </c>
      <c r="J38" s="28">
        <v>96</v>
      </c>
      <c r="K38" s="28">
        <v>7</v>
      </c>
      <c r="L38" s="28">
        <v>56</v>
      </c>
      <c r="M38" s="7"/>
    </row>
    <row r="39" spans="1:13" ht="20.45" hidden="1" customHeight="1">
      <c r="A39" s="12" t="s">
        <v>136</v>
      </c>
      <c r="B39" s="7" t="s">
        <v>20</v>
      </c>
      <c r="C39" s="7" t="s">
        <v>113</v>
      </c>
      <c r="D39" s="7" t="s">
        <v>137</v>
      </c>
      <c r="E39" s="7" t="s">
        <v>138</v>
      </c>
      <c r="F39" s="12" t="s">
        <v>24</v>
      </c>
      <c r="G39" s="12" t="s">
        <v>132</v>
      </c>
      <c r="H39" s="12" t="s">
        <v>26</v>
      </c>
      <c r="I39" s="28">
        <v>6</v>
      </c>
      <c r="J39" s="28">
        <v>48</v>
      </c>
      <c r="K39" s="28">
        <v>4</v>
      </c>
      <c r="L39" s="28">
        <v>32</v>
      </c>
      <c r="M39" s="7"/>
    </row>
    <row r="40" spans="1:13" ht="30.6" hidden="1" customHeight="1">
      <c r="A40" s="29" t="s">
        <v>139</v>
      </c>
      <c r="B40" s="8" t="s">
        <v>140</v>
      </c>
      <c r="C40" s="8" t="s">
        <v>141</v>
      </c>
      <c r="D40" s="8" t="s">
        <v>142</v>
      </c>
      <c r="E40" s="8" t="s">
        <v>143</v>
      </c>
      <c r="F40" s="29" t="s">
        <v>24</v>
      </c>
      <c r="G40" s="29" t="s">
        <v>25</v>
      </c>
      <c r="H40" s="29" t="s">
        <v>18</v>
      </c>
      <c r="I40" s="28">
        <v>14</v>
      </c>
      <c r="J40" s="28">
        <v>112</v>
      </c>
      <c r="K40" s="28">
        <v>10</v>
      </c>
      <c r="L40" s="28">
        <v>80</v>
      </c>
      <c r="M40" s="8"/>
    </row>
    <row r="41" spans="1:13" ht="30.6" hidden="1" customHeight="1">
      <c r="A41" s="29" t="s">
        <v>144</v>
      </c>
      <c r="B41" s="8" t="s">
        <v>140</v>
      </c>
      <c r="C41" s="8" t="s">
        <v>141</v>
      </c>
      <c r="D41" s="8" t="s">
        <v>145</v>
      </c>
      <c r="E41" s="8" t="s">
        <v>146</v>
      </c>
      <c r="F41" s="29" t="s">
        <v>24</v>
      </c>
      <c r="G41" s="29" t="s">
        <v>25</v>
      </c>
      <c r="H41" s="29" t="s">
        <v>26</v>
      </c>
      <c r="I41" s="28">
        <v>6</v>
      </c>
      <c r="J41" s="28">
        <v>48</v>
      </c>
      <c r="K41" s="28">
        <v>4</v>
      </c>
      <c r="L41" s="28">
        <v>32</v>
      </c>
      <c r="M41" s="8"/>
    </row>
    <row r="42" spans="1:13" ht="30.6" hidden="1" customHeight="1">
      <c r="A42" s="29" t="s">
        <v>147</v>
      </c>
      <c r="B42" s="8" t="s">
        <v>140</v>
      </c>
      <c r="C42" s="8" t="s">
        <v>141</v>
      </c>
      <c r="D42" s="8" t="s">
        <v>148</v>
      </c>
      <c r="E42" s="8" t="s">
        <v>149</v>
      </c>
      <c r="F42" s="29" t="s">
        <v>24</v>
      </c>
      <c r="G42" s="29" t="s">
        <v>25</v>
      </c>
      <c r="H42" s="29" t="s">
        <v>26</v>
      </c>
      <c r="I42" s="28">
        <v>6</v>
      </c>
      <c r="J42" s="28">
        <v>48</v>
      </c>
      <c r="K42" s="28">
        <v>4</v>
      </c>
      <c r="L42" s="28">
        <v>32</v>
      </c>
      <c r="M42" s="8"/>
    </row>
    <row r="43" spans="1:13" ht="20.45" hidden="1" customHeight="1">
      <c r="A43" s="29" t="s">
        <v>150</v>
      </c>
      <c r="B43" s="8" t="s">
        <v>140</v>
      </c>
      <c r="C43" s="8" t="s">
        <v>141</v>
      </c>
      <c r="D43" s="8" t="s">
        <v>151</v>
      </c>
      <c r="E43" s="8" t="s">
        <v>152</v>
      </c>
      <c r="F43" s="29" t="s">
        <v>24</v>
      </c>
      <c r="G43" s="29" t="s">
        <v>25</v>
      </c>
      <c r="H43" s="29" t="s">
        <v>18</v>
      </c>
      <c r="I43" s="28">
        <v>8</v>
      </c>
      <c r="J43" s="28">
        <v>64</v>
      </c>
      <c r="K43" s="28">
        <v>5</v>
      </c>
      <c r="L43" s="28">
        <v>40</v>
      </c>
      <c r="M43" s="8"/>
    </row>
    <row r="44" spans="1:13" ht="40.9" customHeight="1">
      <c r="A44" s="13" t="s">
        <v>153</v>
      </c>
      <c r="B44" s="9" t="s">
        <v>154</v>
      </c>
      <c r="C44" s="9" t="s">
        <v>155</v>
      </c>
      <c r="D44" s="9" t="s">
        <v>156</v>
      </c>
      <c r="E44" s="9" t="s">
        <v>157</v>
      </c>
      <c r="F44" s="13" t="s">
        <v>158</v>
      </c>
      <c r="G44" s="13" t="s">
        <v>46</v>
      </c>
      <c r="H44" s="13" t="s">
        <v>26</v>
      </c>
      <c r="I44" s="28">
        <v>7</v>
      </c>
      <c r="J44" s="28">
        <v>56</v>
      </c>
      <c r="K44" s="28">
        <v>5</v>
      </c>
      <c r="L44" s="28">
        <v>40</v>
      </c>
      <c r="M44" s="9"/>
    </row>
    <row r="45" spans="1:13" ht="30.6" customHeight="1">
      <c r="A45" s="13" t="s">
        <v>159</v>
      </c>
      <c r="B45" s="9" t="s">
        <v>154</v>
      </c>
      <c r="C45" s="9" t="s">
        <v>155</v>
      </c>
      <c r="D45" s="9" t="s">
        <v>160</v>
      </c>
      <c r="E45" s="9" t="s">
        <v>161</v>
      </c>
      <c r="F45" s="13" t="s">
        <v>158</v>
      </c>
      <c r="G45" s="13" t="s">
        <v>25</v>
      </c>
      <c r="H45" s="13" t="s">
        <v>26</v>
      </c>
      <c r="I45" s="28">
        <v>5</v>
      </c>
      <c r="J45" s="28">
        <v>40</v>
      </c>
      <c r="K45" s="28">
        <v>3</v>
      </c>
      <c r="L45" s="28">
        <v>24</v>
      </c>
      <c r="M45" s="9"/>
    </row>
    <row r="46" spans="1:13" ht="30.6" customHeight="1">
      <c r="A46" s="13" t="s">
        <v>162</v>
      </c>
      <c r="B46" s="9" t="s">
        <v>154</v>
      </c>
      <c r="C46" s="9" t="s">
        <v>155</v>
      </c>
      <c r="D46" s="9" t="s">
        <v>163</v>
      </c>
      <c r="E46" s="9" t="s">
        <v>164</v>
      </c>
      <c r="F46" s="13" t="s">
        <v>158</v>
      </c>
      <c r="G46" s="13" t="s">
        <v>25</v>
      </c>
      <c r="H46" s="13" t="s">
        <v>18</v>
      </c>
      <c r="I46" s="28">
        <v>22</v>
      </c>
      <c r="J46" s="28">
        <v>176</v>
      </c>
      <c r="K46" s="28">
        <v>15</v>
      </c>
      <c r="L46" s="28">
        <v>120</v>
      </c>
      <c r="M46" s="9"/>
    </row>
    <row r="47" spans="1:13" ht="30.6" customHeight="1">
      <c r="A47" s="13" t="s">
        <v>165</v>
      </c>
      <c r="B47" s="9" t="s">
        <v>154</v>
      </c>
      <c r="C47" s="9" t="s">
        <v>155</v>
      </c>
      <c r="D47" s="9" t="s">
        <v>166</v>
      </c>
      <c r="E47" s="9" t="s">
        <v>167</v>
      </c>
      <c r="F47" s="13" t="s">
        <v>158</v>
      </c>
      <c r="G47" s="13" t="s">
        <v>25</v>
      </c>
      <c r="H47" s="13" t="s">
        <v>26</v>
      </c>
      <c r="I47" s="28">
        <v>3</v>
      </c>
      <c r="J47" s="28">
        <v>24</v>
      </c>
      <c r="K47" s="28">
        <v>2</v>
      </c>
      <c r="L47" s="28">
        <v>16</v>
      </c>
      <c r="M47" s="9"/>
    </row>
    <row r="48" spans="1:13" ht="30.6" customHeight="1">
      <c r="A48" s="13" t="s">
        <v>168</v>
      </c>
      <c r="B48" s="9" t="s">
        <v>154</v>
      </c>
      <c r="C48" s="9" t="s">
        <v>169</v>
      </c>
      <c r="D48" s="9" t="s">
        <v>170</v>
      </c>
      <c r="E48" s="9" t="s">
        <v>171</v>
      </c>
      <c r="F48" s="13" t="s">
        <v>158</v>
      </c>
      <c r="G48" s="13" t="s">
        <v>46</v>
      </c>
      <c r="H48" s="13" t="s">
        <v>15</v>
      </c>
      <c r="I48" s="28">
        <v>4</v>
      </c>
      <c r="J48" s="28">
        <v>32</v>
      </c>
      <c r="K48" s="28">
        <v>2</v>
      </c>
      <c r="L48" s="28">
        <v>16</v>
      </c>
      <c r="M48" s="9"/>
    </row>
    <row r="49" spans="1:13" ht="30.6" customHeight="1">
      <c r="A49" s="13" t="s">
        <v>172</v>
      </c>
      <c r="B49" s="9" t="s">
        <v>154</v>
      </c>
      <c r="C49" s="9" t="s">
        <v>169</v>
      </c>
      <c r="D49" s="9" t="s">
        <v>173</v>
      </c>
      <c r="E49" s="9" t="s">
        <v>174</v>
      </c>
      <c r="F49" s="13" t="s">
        <v>158</v>
      </c>
      <c r="G49" s="13" t="s">
        <v>25</v>
      </c>
      <c r="H49" s="13" t="s">
        <v>15</v>
      </c>
      <c r="I49" s="28">
        <v>4</v>
      </c>
      <c r="J49" s="28">
        <v>32</v>
      </c>
      <c r="K49" s="28">
        <v>2</v>
      </c>
      <c r="L49" s="28">
        <v>16</v>
      </c>
      <c r="M49" s="9"/>
    </row>
    <row r="50" spans="1:13" ht="30.6" customHeight="1">
      <c r="A50" s="13" t="s">
        <v>175</v>
      </c>
      <c r="B50" s="9" t="s">
        <v>154</v>
      </c>
      <c r="C50" s="9" t="s">
        <v>169</v>
      </c>
      <c r="D50" s="9" t="s">
        <v>176</v>
      </c>
      <c r="E50" s="9" t="s">
        <v>177</v>
      </c>
      <c r="F50" s="13" t="s">
        <v>158</v>
      </c>
      <c r="G50" s="13" t="s">
        <v>25</v>
      </c>
      <c r="H50" s="13" t="s">
        <v>15</v>
      </c>
      <c r="I50" s="28">
        <v>4</v>
      </c>
      <c r="J50" s="28">
        <v>32</v>
      </c>
      <c r="K50" s="28">
        <v>2</v>
      </c>
      <c r="L50" s="28">
        <v>16</v>
      </c>
      <c r="M50" s="9"/>
    </row>
    <row r="51" spans="1:13" ht="30.6" customHeight="1">
      <c r="A51" s="13" t="s">
        <v>178</v>
      </c>
      <c r="B51" s="9" t="s">
        <v>154</v>
      </c>
      <c r="C51" s="9" t="s">
        <v>169</v>
      </c>
      <c r="D51" s="9" t="s">
        <v>179</v>
      </c>
      <c r="E51" s="9" t="s">
        <v>180</v>
      </c>
      <c r="F51" s="13" t="s">
        <v>158</v>
      </c>
      <c r="G51" s="13" t="s">
        <v>46</v>
      </c>
      <c r="H51" s="13" t="s">
        <v>26</v>
      </c>
      <c r="I51" s="28">
        <v>4</v>
      </c>
      <c r="J51" s="28">
        <v>32</v>
      </c>
      <c r="K51" s="28">
        <v>3</v>
      </c>
      <c r="L51" s="28">
        <v>24</v>
      </c>
      <c r="M51" s="9"/>
    </row>
    <row r="52" spans="1:13" ht="30.6" customHeight="1">
      <c r="A52" s="13" t="s">
        <v>181</v>
      </c>
      <c r="B52" s="9" t="s">
        <v>154</v>
      </c>
      <c r="C52" s="9" t="s">
        <v>182</v>
      </c>
      <c r="D52" s="9" t="s">
        <v>183</v>
      </c>
      <c r="E52" s="9" t="s">
        <v>184</v>
      </c>
      <c r="F52" s="13" t="s">
        <v>158</v>
      </c>
      <c r="G52" s="13" t="s">
        <v>25</v>
      </c>
      <c r="H52" s="13" t="s">
        <v>18</v>
      </c>
      <c r="I52" s="28">
        <v>10</v>
      </c>
      <c r="J52" s="28">
        <v>80</v>
      </c>
      <c r="K52" s="28">
        <v>7</v>
      </c>
      <c r="L52" s="28">
        <v>56</v>
      </c>
      <c r="M52" s="9"/>
    </row>
    <row r="53" spans="1:13" ht="30.6" customHeight="1">
      <c r="A53" s="13" t="s">
        <v>185</v>
      </c>
      <c r="B53" s="9" t="s">
        <v>154</v>
      </c>
      <c r="C53" s="9" t="s">
        <v>182</v>
      </c>
      <c r="D53" s="9" t="s">
        <v>186</v>
      </c>
      <c r="E53" s="9" t="s">
        <v>187</v>
      </c>
      <c r="F53" s="13" t="s">
        <v>158</v>
      </c>
      <c r="G53" s="13" t="s">
        <v>46</v>
      </c>
      <c r="H53" s="13" t="s">
        <v>26</v>
      </c>
      <c r="I53" s="28">
        <v>6</v>
      </c>
      <c r="J53" s="28">
        <v>48</v>
      </c>
      <c r="K53" s="28">
        <v>4</v>
      </c>
      <c r="L53" s="28">
        <v>32</v>
      </c>
      <c r="M53" s="9"/>
    </row>
    <row r="54" spans="1:13" ht="30.6" customHeight="1">
      <c r="A54" s="13" t="s">
        <v>188</v>
      </c>
      <c r="B54" s="9" t="s">
        <v>154</v>
      </c>
      <c r="C54" s="9" t="s">
        <v>182</v>
      </c>
      <c r="D54" s="9" t="s">
        <v>189</v>
      </c>
      <c r="E54" s="9" t="s">
        <v>190</v>
      </c>
      <c r="F54" s="13" t="s">
        <v>158</v>
      </c>
      <c r="G54" s="13" t="s">
        <v>46</v>
      </c>
      <c r="H54" s="13" t="s">
        <v>26</v>
      </c>
      <c r="I54" s="28">
        <v>6</v>
      </c>
      <c r="J54" s="28">
        <v>48</v>
      </c>
      <c r="K54" s="28">
        <v>4</v>
      </c>
      <c r="L54" s="28">
        <v>32</v>
      </c>
      <c r="M54" s="9"/>
    </row>
    <row r="55" spans="1:13" ht="30.6" customHeight="1">
      <c r="A55" s="13" t="s">
        <v>191</v>
      </c>
      <c r="B55" s="9" t="s">
        <v>154</v>
      </c>
      <c r="C55" s="9" t="s">
        <v>182</v>
      </c>
      <c r="D55" s="9" t="s">
        <v>192</v>
      </c>
      <c r="E55" s="9" t="s">
        <v>193</v>
      </c>
      <c r="F55" s="13" t="s">
        <v>158</v>
      </c>
      <c r="G55" s="13" t="s">
        <v>46</v>
      </c>
      <c r="H55" s="13" t="s">
        <v>26</v>
      </c>
      <c r="I55" s="28">
        <v>6</v>
      </c>
      <c r="J55" s="28">
        <v>48</v>
      </c>
      <c r="K55" s="28">
        <v>4</v>
      </c>
      <c r="L55" s="28">
        <v>32</v>
      </c>
      <c r="M55" s="9"/>
    </row>
    <row r="56" spans="1:13" ht="30.6" customHeight="1">
      <c r="A56" s="13" t="s">
        <v>194</v>
      </c>
      <c r="B56" s="9" t="s">
        <v>154</v>
      </c>
      <c r="C56" s="9" t="s">
        <v>182</v>
      </c>
      <c r="D56" s="9" t="s">
        <v>195</v>
      </c>
      <c r="E56" s="9" t="s">
        <v>196</v>
      </c>
      <c r="F56" s="13" t="s">
        <v>158</v>
      </c>
      <c r="G56" s="13" t="s">
        <v>25</v>
      </c>
      <c r="H56" s="13" t="s">
        <v>26</v>
      </c>
      <c r="I56" s="28">
        <v>7</v>
      </c>
      <c r="J56" s="28">
        <v>56</v>
      </c>
      <c r="K56" s="28">
        <v>5</v>
      </c>
      <c r="L56" s="28">
        <v>40</v>
      </c>
      <c r="M56" s="9"/>
    </row>
    <row r="57" spans="1:13" ht="30.6" customHeight="1">
      <c r="A57" s="13" t="s">
        <v>197</v>
      </c>
      <c r="B57" s="9" t="s">
        <v>154</v>
      </c>
      <c r="C57" s="9" t="s">
        <v>182</v>
      </c>
      <c r="D57" s="9" t="s">
        <v>198</v>
      </c>
      <c r="E57" s="9" t="s">
        <v>199</v>
      </c>
      <c r="F57" s="13" t="s">
        <v>128</v>
      </c>
      <c r="G57" s="13" t="s">
        <v>132</v>
      </c>
      <c r="H57" s="13" t="s">
        <v>18</v>
      </c>
      <c r="I57" s="28">
        <v>20</v>
      </c>
      <c r="J57" s="28">
        <v>160</v>
      </c>
      <c r="K57" s="28">
        <v>14</v>
      </c>
      <c r="L57" s="28">
        <v>112</v>
      </c>
      <c r="M57" s="9"/>
    </row>
    <row r="58" spans="1:13" ht="30.6" customHeight="1">
      <c r="A58" s="13" t="s">
        <v>200</v>
      </c>
      <c r="B58" s="9" t="s">
        <v>154</v>
      </c>
      <c r="C58" s="9" t="s">
        <v>201</v>
      </c>
      <c r="D58" s="9" t="s">
        <v>202</v>
      </c>
      <c r="E58" s="9" t="s">
        <v>203</v>
      </c>
      <c r="F58" s="13" t="s">
        <v>158</v>
      </c>
      <c r="G58" s="13" t="s">
        <v>25</v>
      </c>
      <c r="H58" s="13" t="s">
        <v>26</v>
      </c>
      <c r="I58" s="28">
        <v>5</v>
      </c>
      <c r="J58" s="28">
        <v>40</v>
      </c>
      <c r="K58" s="28">
        <v>3</v>
      </c>
      <c r="L58" s="28">
        <v>24</v>
      </c>
      <c r="M58" s="9"/>
    </row>
    <row r="59" spans="1:13" ht="30.6" customHeight="1">
      <c r="A59" s="13" t="s">
        <v>204</v>
      </c>
      <c r="B59" s="9" t="s">
        <v>154</v>
      </c>
      <c r="C59" s="9" t="s">
        <v>201</v>
      </c>
      <c r="D59" s="9" t="s">
        <v>205</v>
      </c>
      <c r="E59" s="9" t="s">
        <v>206</v>
      </c>
      <c r="F59" s="13" t="s">
        <v>158</v>
      </c>
      <c r="G59" s="13" t="s">
        <v>25</v>
      </c>
      <c r="H59" s="13" t="s">
        <v>26</v>
      </c>
      <c r="I59" s="28">
        <v>7</v>
      </c>
      <c r="J59" s="28">
        <v>56</v>
      </c>
      <c r="K59" s="28">
        <v>5</v>
      </c>
      <c r="L59" s="28">
        <v>40</v>
      </c>
      <c r="M59" s="9"/>
    </row>
    <row r="60" spans="1:13" ht="30.6" customHeight="1">
      <c r="A60" s="13" t="s">
        <v>207</v>
      </c>
      <c r="B60" s="9" t="s">
        <v>154</v>
      </c>
      <c r="C60" s="9" t="s">
        <v>201</v>
      </c>
      <c r="D60" s="9" t="s">
        <v>208</v>
      </c>
      <c r="E60" s="9" t="s">
        <v>209</v>
      </c>
      <c r="F60" s="13" t="s">
        <v>158</v>
      </c>
      <c r="G60" s="13" t="s">
        <v>25</v>
      </c>
      <c r="H60" s="13" t="s">
        <v>26</v>
      </c>
      <c r="I60" s="28">
        <v>4</v>
      </c>
      <c r="J60" s="28">
        <v>32</v>
      </c>
      <c r="K60" s="28">
        <v>2</v>
      </c>
      <c r="L60" s="28">
        <v>16</v>
      </c>
      <c r="M60" s="9"/>
    </row>
    <row r="61" spans="1:13" ht="30.6" customHeight="1">
      <c r="A61" s="13" t="s">
        <v>210</v>
      </c>
      <c r="B61" s="9" t="s">
        <v>154</v>
      </c>
      <c r="C61" s="9" t="s">
        <v>201</v>
      </c>
      <c r="D61" s="9" t="s">
        <v>211</v>
      </c>
      <c r="E61" s="9" t="s">
        <v>212</v>
      </c>
      <c r="F61" s="13" t="s">
        <v>158</v>
      </c>
      <c r="G61" s="13" t="s">
        <v>46</v>
      </c>
      <c r="H61" s="13" t="s">
        <v>26</v>
      </c>
      <c r="I61" s="28">
        <v>6</v>
      </c>
      <c r="J61" s="28">
        <v>48</v>
      </c>
      <c r="K61" s="28">
        <v>4</v>
      </c>
      <c r="L61" s="28">
        <v>32</v>
      </c>
      <c r="M61" s="9"/>
    </row>
    <row r="62" spans="1:13" ht="30.6" customHeight="1">
      <c r="A62" s="13" t="s">
        <v>213</v>
      </c>
      <c r="B62" s="9" t="s">
        <v>154</v>
      </c>
      <c r="C62" s="9" t="s">
        <v>201</v>
      </c>
      <c r="D62" s="9" t="s">
        <v>214</v>
      </c>
      <c r="E62" s="9" t="s">
        <v>215</v>
      </c>
      <c r="F62" s="13" t="s">
        <v>158</v>
      </c>
      <c r="G62" s="13" t="s">
        <v>25</v>
      </c>
      <c r="H62" s="13" t="s">
        <v>18</v>
      </c>
      <c r="I62" s="28">
        <v>6</v>
      </c>
      <c r="J62" s="28">
        <v>48</v>
      </c>
      <c r="K62" s="28">
        <v>4</v>
      </c>
      <c r="L62" s="28">
        <v>32</v>
      </c>
      <c r="M62" s="9"/>
    </row>
    <row r="63" spans="1:13" ht="30.6" customHeight="1">
      <c r="A63" s="13" t="s">
        <v>216</v>
      </c>
      <c r="B63" s="9" t="s">
        <v>154</v>
      </c>
      <c r="C63" s="9" t="s">
        <v>217</v>
      </c>
      <c r="D63" s="9" t="s">
        <v>218</v>
      </c>
      <c r="E63" s="9" t="s">
        <v>219</v>
      </c>
      <c r="F63" s="13" t="s">
        <v>158</v>
      </c>
      <c r="G63" s="13" t="s">
        <v>25</v>
      </c>
      <c r="H63" s="13" t="s">
        <v>26</v>
      </c>
      <c r="I63" s="28">
        <v>5</v>
      </c>
      <c r="J63" s="28">
        <v>40</v>
      </c>
      <c r="K63" s="28">
        <v>3</v>
      </c>
      <c r="L63" s="28">
        <v>24</v>
      </c>
      <c r="M63" s="9"/>
    </row>
    <row r="64" spans="1:13" ht="30.6" customHeight="1">
      <c r="A64" s="13" t="s">
        <v>220</v>
      </c>
      <c r="B64" s="9" t="s">
        <v>154</v>
      </c>
      <c r="C64" s="9" t="s">
        <v>217</v>
      </c>
      <c r="D64" s="9" t="s">
        <v>221</v>
      </c>
      <c r="E64" s="9" t="s">
        <v>222</v>
      </c>
      <c r="F64" s="13" t="s">
        <v>158</v>
      </c>
      <c r="G64" s="13" t="s">
        <v>25</v>
      </c>
      <c r="H64" s="13" t="s">
        <v>26</v>
      </c>
      <c r="I64" s="28">
        <v>5</v>
      </c>
      <c r="J64" s="28">
        <v>40</v>
      </c>
      <c r="K64" s="28">
        <v>3</v>
      </c>
      <c r="L64" s="28">
        <v>24</v>
      </c>
      <c r="M64" s="9"/>
    </row>
    <row r="65" spans="1:13" ht="30.6" customHeight="1">
      <c r="A65" s="13" t="s">
        <v>223</v>
      </c>
      <c r="B65" s="9" t="s">
        <v>154</v>
      </c>
      <c r="C65" s="9" t="s">
        <v>217</v>
      </c>
      <c r="D65" s="9" t="s">
        <v>224</v>
      </c>
      <c r="E65" s="9" t="s">
        <v>225</v>
      </c>
      <c r="F65" s="13" t="s">
        <v>158</v>
      </c>
      <c r="G65" s="13" t="s">
        <v>25</v>
      </c>
      <c r="H65" s="13" t="s">
        <v>18</v>
      </c>
      <c r="I65" s="28">
        <v>6</v>
      </c>
      <c r="J65" s="28">
        <v>48</v>
      </c>
      <c r="K65" s="28">
        <v>4</v>
      </c>
      <c r="L65" s="28">
        <v>32</v>
      </c>
      <c r="M65" s="9"/>
    </row>
    <row r="66" spans="1:13" ht="30.6" customHeight="1">
      <c r="A66" s="13" t="s">
        <v>226</v>
      </c>
      <c r="B66" s="9" t="s">
        <v>154</v>
      </c>
      <c r="C66" s="9" t="s">
        <v>217</v>
      </c>
      <c r="D66" s="9" t="s">
        <v>227</v>
      </c>
      <c r="E66" s="9" t="s">
        <v>228</v>
      </c>
      <c r="F66" s="13" t="s">
        <v>158</v>
      </c>
      <c r="G66" s="13" t="s">
        <v>25</v>
      </c>
      <c r="H66" s="13" t="s">
        <v>26</v>
      </c>
      <c r="I66" s="28">
        <v>5</v>
      </c>
      <c r="J66" s="28">
        <v>40</v>
      </c>
      <c r="K66" s="28">
        <v>3</v>
      </c>
      <c r="L66" s="28">
        <v>24</v>
      </c>
      <c r="M66" s="9"/>
    </row>
    <row r="67" spans="1:13" ht="30.6" customHeight="1">
      <c r="A67" s="13" t="s">
        <v>229</v>
      </c>
      <c r="B67" s="9" t="s">
        <v>154</v>
      </c>
      <c r="C67" s="9" t="s">
        <v>217</v>
      </c>
      <c r="D67" s="9" t="s">
        <v>92</v>
      </c>
      <c r="E67" s="9" t="s">
        <v>230</v>
      </c>
      <c r="F67" s="13" t="s">
        <v>158</v>
      </c>
      <c r="G67" s="13" t="s">
        <v>25</v>
      </c>
      <c r="H67" s="13" t="s">
        <v>26</v>
      </c>
      <c r="I67" s="28">
        <v>5</v>
      </c>
      <c r="J67" s="28">
        <v>40</v>
      </c>
      <c r="K67" s="28">
        <v>3</v>
      </c>
      <c r="L67" s="28">
        <v>24</v>
      </c>
      <c r="M67" s="9"/>
    </row>
    <row r="68" spans="1:13" ht="30.6" customHeight="1">
      <c r="A68" s="13" t="s">
        <v>231</v>
      </c>
      <c r="B68" s="9" t="s">
        <v>154</v>
      </c>
      <c r="C68" s="9" t="s">
        <v>217</v>
      </c>
      <c r="D68" s="9" t="s">
        <v>95</v>
      </c>
      <c r="E68" s="9" t="s">
        <v>232</v>
      </c>
      <c r="F68" s="13" t="s">
        <v>158</v>
      </c>
      <c r="G68" s="13" t="s">
        <v>25</v>
      </c>
      <c r="H68" s="13" t="s">
        <v>26</v>
      </c>
      <c r="I68" s="28">
        <v>5</v>
      </c>
      <c r="J68" s="28">
        <v>40</v>
      </c>
      <c r="K68" s="28">
        <v>3</v>
      </c>
      <c r="L68" s="28">
        <v>24</v>
      </c>
      <c r="M68" s="9"/>
    </row>
    <row r="69" spans="1:13" ht="30.6" customHeight="1">
      <c r="A69" s="13" t="s">
        <v>233</v>
      </c>
      <c r="B69" s="9" t="s">
        <v>154</v>
      </c>
      <c r="C69" s="9" t="s">
        <v>217</v>
      </c>
      <c r="D69" s="9" t="s">
        <v>234</v>
      </c>
      <c r="E69" s="9" t="s">
        <v>235</v>
      </c>
      <c r="F69" s="13" t="s">
        <v>158</v>
      </c>
      <c r="G69" s="13" t="s">
        <v>46</v>
      </c>
      <c r="H69" s="13" t="s">
        <v>18</v>
      </c>
      <c r="I69" s="28">
        <v>12</v>
      </c>
      <c r="J69" s="28">
        <v>96</v>
      </c>
      <c r="K69" s="28">
        <v>10</v>
      </c>
      <c r="L69" s="28">
        <v>80</v>
      </c>
      <c r="M69" s="9"/>
    </row>
    <row r="70" spans="1:13" ht="30.6" customHeight="1">
      <c r="A70" s="13" t="s">
        <v>236</v>
      </c>
      <c r="B70" s="9" t="s">
        <v>154</v>
      </c>
      <c r="C70" s="9" t="s">
        <v>237</v>
      </c>
      <c r="D70" s="9" t="s">
        <v>238</v>
      </c>
      <c r="E70" s="9" t="s">
        <v>239</v>
      </c>
      <c r="F70" s="13" t="s">
        <v>158</v>
      </c>
      <c r="G70" s="13" t="s">
        <v>25</v>
      </c>
      <c r="H70" s="13" t="s">
        <v>18</v>
      </c>
      <c r="I70" s="28">
        <v>12</v>
      </c>
      <c r="J70" s="28">
        <v>96</v>
      </c>
      <c r="K70" s="28">
        <v>8</v>
      </c>
      <c r="L70" s="28">
        <v>64</v>
      </c>
      <c r="M70" s="9"/>
    </row>
    <row r="71" spans="1:13" ht="30.6" customHeight="1">
      <c r="A71" s="13" t="s">
        <v>240</v>
      </c>
      <c r="B71" s="9" t="s">
        <v>154</v>
      </c>
      <c r="C71" s="9" t="s">
        <v>237</v>
      </c>
      <c r="D71" s="9" t="s">
        <v>241</v>
      </c>
      <c r="E71" s="9" t="s">
        <v>242</v>
      </c>
      <c r="F71" s="13" t="s">
        <v>158</v>
      </c>
      <c r="G71" s="13" t="s">
        <v>25</v>
      </c>
      <c r="H71" s="13" t="s">
        <v>15</v>
      </c>
      <c r="I71" s="28">
        <v>3</v>
      </c>
      <c r="J71" s="28">
        <v>24</v>
      </c>
      <c r="K71" s="28">
        <v>2</v>
      </c>
      <c r="L71" s="28">
        <v>16</v>
      </c>
      <c r="M71" s="9"/>
    </row>
    <row r="72" spans="1:13" ht="30.6" customHeight="1">
      <c r="A72" s="13" t="s">
        <v>243</v>
      </c>
      <c r="B72" s="9" t="s">
        <v>154</v>
      </c>
      <c r="C72" s="9" t="s">
        <v>237</v>
      </c>
      <c r="D72" s="9" t="s">
        <v>244</v>
      </c>
      <c r="E72" s="9" t="s">
        <v>245</v>
      </c>
      <c r="F72" s="13" t="s">
        <v>158</v>
      </c>
      <c r="G72" s="13" t="s">
        <v>46</v>
      </c>
      <c r="H72" s="13" t="s">
        <v>26</v>
      </c>
      <c r="I72" s="28">
        <v>5</v>
      </c>
      <c r="J72" s="28">
        <v>40</v>
      </c>
      <c r="K72" s="28">
        <v>3</v>
      </c>
      <c r="L72" s="28">
        <v>24</v>
      </c>
      <c r="M72" s="9"/>
    </row>
    <row r="73" spans="1:13" ht="30.6" customHeight="1">
      <c r="A73" s="13" t="s">
        <v>246</v>
      </c>
      <c r="B73" s="9" t="s">
        <v>154</v>
      </c>
      <c r="C73" s="9" t="s">
        <v>237</v>
      </c>
      <c r="D73" s="9" t="s">
        <v>247</v>
      </c>
      <c r="E73" s="9" t="s">
        <v>248</v>
      </c>
      <c r="F73" s="13" t="s">
        <v>158</v>
      </c>
      <c r="G73" s="13" t="s">
        <v>46</v>
      </c>
      <c r="H73" s="13" t="s">
        <v>26</v>
      </c>
      <c r="I73" s="28">
        <v>6</v>
      </c>
      <c r="J73" s="28">
        <v>48</v>
      </c>
      <c r="K73" s="28">
        <v>4</v>
      </c>
      <c r="L73" s="28">
        <v>32</v>
      </c>
      <c r="M73" s="9"/>
    </row>
    <row r="74" spans="1:13" ht="30.6" customHeight="1">
      <c r="A74" s="13" t="s">
        <v>249</v>
      </c>
      <c r="B74" s="9" t="s">
        <v>154</v>
      </c>
      <c r="C74" s="9" t="s">
        <v>237</v>
      </c>
      <c r="D74" s="9" t="s">
        <v>250</v>
      </c>
      <c r="E74" s="9" t="s">
        <v>251</v>
      </c>
      <c r="F74" s="13" t="s">
        <v>158</v>
      </c>
      <c r="G74" s="13" t="s">
        <v>25</v>
      </c>
      <c r="H74" s="13" t="s">
        <v>26</v>
      </c>
      <c r="I74" s="28">
        <v>7</v>
      </c>
      <c r="J74" s="28">
        <v>56</v>
      </c>
      <c r="K74" s="28">
        <v>5</v>
      </c>
      <c r="L74" s="28">
        <v>40</v>
      </c>
      <c r="M74" s="9"/>
    </row>
    <row r="75" spans="1:13" ht="30.6" customHeight="1">
      <c r="A75" s="13" t="s">
        <v>252</v>
      </c>
      <c r="B75" s="9" t="s">
        <v>154</v>
      </c>
      <c r="C75" s="9" t="s">
        <v>237</v>
      </c>
      <c r="D75" s="9" t="s">
        <v>253</v>
      </c>
      <c r="E75" s="9" t="s">
        <v>254</v>
      </c>
      <c r="F75" s="13" t="s">
        <v>158</v>
      </c>
      <c r="G75" s="13" t="s">
        <v>46</v>
      </c>
      <c r="H75" s="13" t="s">
        <v>15</v>
      </c>
      <c r="I75" s="28">
        <v>3</v>
      </c>
      <c r="J75" s="28">
        <v>24</v>
      </c>
      <c r="K75" s="28">
        <v>2</v>
      </c>
      <c r="L75" s="28">
        <v>16</v>
      </c>
      <c r="M75" s="9"/>
    </row>
    <row r="76" spans="1:13" ht="30.6" customHeight="1">
      <c r="A76" s="13" t="s">
        <v>255</v>
      </c>
      <c r="B76" s="9" t="s">
        <v>154</v>
      </c>
      <c r="C76" s="9" t="s">
        <v>237</v>
      </c>
      <c r="D76" s="9" t="s">
        <v>256</v>
      </c>
      <c r="E76" s="9" t="s">
        <v>257</v>
      </c>
      <c r="F76" s="13" t="s">
        <v>158</v>
      </c>
      <c r="G76" s="13" t="s">
        <v>25</v>
      </c>
      <c r="H76" s="13" t="s">
        <v>26</v>
      </c>
      <c r="I76" s="28">
        <v>6</v>
      </c>
      <c r="J76" s="28">
        <v>48</v>
      </c>
      <c r="K76" s="28">
        <v>4</v>
      </c>
      <c r="L76" s="28">
        <v>32</v>
      </c>
      <c r="M76" s="9"/>
    </row>
    <row r="77" spans="1:13" ht="30.6" customHeight="1">
      <c r="A77" s="13" t="s">
        <v>258</v>
      </c>
      <c r="B77" s="9" t="s">
        <v>154</v>
      </c>
      <c r="C77" s="9" t="s">
        <v>259</v>
      </c>
      <c r="D77" s="9" t="s">
        <v>260</v>
      </c>
      <c r="E77" s="9" t="s">
        <v>261</v>
      </c>
      <c r="F77" s="13" t="s">
        <v>158</v>
      </c>
      <c r="G77" s="13" t="s">
        <v>25</v>
      </c>
      <c r="H77" s="13" t="s">
        <v>26</v>
      </c>
      <c r="I77" s="28">
        <v>7</v>
      </c>
      <c r="J77" s="28">
        <v>56</v>
      </c>
      <c r="K77" s="28">
        <v>4</v>
      </c>
      <c r="L77" s="28">
        <v>32</v>
      </c>
      <c r="M77" s="9"/>
    </row>
    <row r="78" spans="1:13" ht="30.6" customHeight="1">
      <c r="A78" s="13" t="s">
        <v>262</v>
      </c>
      <c r="B78" s="9" t="s">
        <v>154</v>
      </c>
      <c r="C78" s="9" t="s">
        <v>259</v>
      </c>
      <c r="D78" s="9" t="s">
        <v>263</v>
      </c>
      <c r="E78" s="9" t="s">
        <v>264</v>
      </c>
      <c r="F78" s="13" t="s">
        <v>158</v>
      </c>
      <c r="G78" s="13" t="s">
        <v>25</v>
      </c>
      <c r="H78" s="13" t="s">
        <v>18</v>
      </c>
      <c r="I78" s="28">
        <v>16</v>
      </c>
      <c r="J78" s="28">
        <v>128</v>
      </c>
      <c r="K78" s="28">
        <v>11</v>
      </c>
      <c r="L78" s="28">
        <v>88</v>
      </c>
      <c r="M78" s="9"/>
    </row>
    <row r="79" spans="1:13" ht="30.6" customHeight="1">
      <c r="A79" s="13" t="s">
        <v>265</v>
      </c>
      <c r="B79" s="9" t="s">
        <v>154</v>
      </c>
      <c r="C79" s="9" t="s">
        <v>259</v>
      </c>
      <c r="D79" s="9" t="s">
        <v>266</v>
      </c>
      <c r="E79" s="9" t="s">
        <v>267</v>
      </c>
      <c r="F79" s="13" t="s">
        <v>158</v>
      </c>
      <c r="G79" s="13" t="s">
        <v>25</v>
      </c>
      <c r="H79" s="13" t="s">
        <v>26</v>
      </c>
      <c r="I79" s="28">
        <v>8</v>
      </c>
      <c r="J79" s="28">
        <v>64</v>
      </c>
      <c r="K79" s="28">
        <v>5</v>
      </c>
      <c r="L79" s="28">
        <v>40</v>
      </c>
      <c r="M79" s="9"/>
    </row>
    <row r="80" spans="1:13" ht="30.6" customHeight="1">
      <c r="A80" s="13" t="s">
        <v>268</v>
      </c>
      <c r="B80" s="9" t="s">
        <v>154</v>
      </c>
      <c r="C80" s="9" t="s">
        <v>259</v>
      </c>
      <c r="D80" s="9" t="s">
        <v>269</v>
      </c>
      <c r="E80" s="9" t="s">
        <v>270</v>
      </c>
      <c r="F80" s="13" t="s">
        <v>158</v>
      </c>
      <c r="G80" s="13" t="s">
        <v>25</v>
      </c>
      <c r="H80" s="13" t="s">
        <v>15</v>
      </c>
      <c r="I80" s="28">
        <v>4</v>
      </c>
      <c r="J80" s="28">
        <v>32</v>
      </c>
      <c r="K80" s="28">
        <v>2</v>
      </c>
      <c r="L80" s="28">
        <v>16</v>
      </c>
      <c r="M80" s="9"/>
    </row>
    <row r="81" spans="1:13" ht="30.6" customHeight="1">
      <c r="A81" s="13" t="s">
        <v>271</v>
      </c>
      <c r="B81" s="9" t="s">
        <v>154</v>
      </c>
      <c r="C81" s="9" t="s">
        <v>259</v>
      </c>
      <c r="D81" s="9" t="s">
        <v>272</v>
      </c>
      <c r="E81" s="9" t="s">
        <v>273</v>
      </c>
      <c r="F81" s="13" t="s">
        <v>158</v>
      </c>
      <c r="G81" s="13" t="s">
        <v>25</v>
      </c>
      <c r="H81" s="13" t="s">
        <v>26</v>
      </c>
      <c r="I81" s="28">
        <v>7</v>
      </c>
      <c r="J81" s="28">
        <v>56</v>
      </c>
      <c r="K81" s="28">
        <v>5</v>
      </c>
      <c r="L81" s="28">
        <v>40</v>
      </c>
      <c r="M81" s="9"/>
    </row>
    <row r="82" spans="1:13" ht="30.6" customHeight="1">
      <c r="A82" s="13" t="s">
        <v>274</v>
      </c>
      <c r="B82" s="9" t="s">
        <v>154</v>
      </c>
      <c r="C82" s="9" t="s">
        <v>259</v>
      </c>
      <c r="D82" s="9" t="s">
        <v>275</v>
      </c>
      <c r="E82" s="9" t="s">
        <v>276</v>
      </c>
      <c r="F82" s="13" t="s">
        <v>128</v>
      </c>
      <c r="G82" s="13" t="s">
        <v>132</v>
      </c>
      <c r="H82" s="13" t="s">
        <v>18</v>
      </c>
      <c r="I82" s="28">
        <v>18</v>
      </c>
      <c r="J82" s="28">
        <v>144</v>
      </c>
      <c r="K82" s="28">
        <v>13</v>
      </c>
      <c r="L82" s="28">
        <v>104</v>
      </c>
      <c r="M82" s="9"/>
    </row>
    <row r="83" spans="1:13" ht="20.45" hidden="1" customHeight="1">
      <c r="A83" s="14" t="s">
        <v>277</v>
      </c>
      <c r="B83" s="10" t="s">
        <v>278</v>
      </c>
      <c r="C83" s="10" t="s">
        <v>279</v>
      </c>
      <c r="D83" s="10" t="s">
        <v>280</v>
      </c>
      <c r="E83" s="10" t="s">
        <v>281</v>
      </c>
      <c r="F83" s="14" t="s">
        <v>24</v>
      </c>
      <c r="G83" s="14" t="s">
        <v>25</v>
      </c>
      <c r="H83" s="14" t="s">
        <v>26</v>
      </c>
      <c r="I83" s="28">
        <v>5</v>
      </c>
      <c r="J83" s="28">
        <v>40</v>
      </c>
      <c r="K83" s="28">
        <v>3</v>
      </c>
      <c r="L83" s="28">
        <v>24</v>
      </c>
      <c r="M83" s="10"/>
    </row>
    <row r="84" spans="1:13" ht="20.45" hidden="1" customHeight="1">
      <c r="A84" s="14" t="s">
        <v>282</v>
      </c>
      <c r="B84" s="10" t="s">
        <v>278</v>
      </c>
      <c r="C84" s="10" t="s">
        <v>279</v>
      </c>
      <c r="D84" s="10" t="s">
        <v>283</v>
      </c>
      <c r="E84" s="10" t="s">
        <v>284</v>
      </c>
      <c r="F84" s="14" t="s">
        <v>24</v>
      </c>
      <c r="G84" s="14" t="s">
        <v>25</v>
      </c>
      <c r="H84" s="14" t="s">
        <v>26</v>
      </c>
      <c r="I84" s="28">
        <v>7</v>
      </c>
      <c r="J84" s="28">
        <v>56</v>
      </c>
      <c r="K84" s="28">
        <v>4</v>
      </c>
      <c r="L84" s="28">
        <v>32</v>
      </c>
      <c r="M84" s="10"/>
    </row>
    <row r="85" spans="1:13" ht="20.45" hidden="1" customHeight="1">
      <c r="A85" s="14" t="s">
        <v>285</v>
      </c>
      <c r="B85" s="10" t="s">
        <v>278</v>
      </c>
      <c r="C85" s="10" t="s">
        <v>279</v>
      </c>
      <c r="D85" s="10" t="s">
        <v>286</v>
      </c>
      <c r="E85" s="10" t="s">
        <v>287</v>
      </c>
      <c r="F85" s="14" t="s">
        <v>24</v>
      </c>
      <c r="G85" s="14" t="s">
        <v>25</v>
      </c>
      <c r="H85" s="14" t="s">
        <v>26</v>
      </c>
      <c r="I85" s="28">
        <v>6</v>
      </c>
      <c r="J85" s="28">
        <v>48</v>
      </c>
      <c r="K85" s="28">
        <v>4</v>
      </c>
      <c r="L85" s="28">
        <v>32</v>
      </c>
      <c r="M85" s="10"/>
    </row>
    <row r="86" spans="1:13" ht="20.45" hidden="1" customHeight="1">
      <c r="A86" s="14" t="s">
        <v>288</v>
      </c>
      <c r="B86" s="10" t="s">
        <v>278</v>
      </c>
      <c r="C86" s="10" t="s">
        <v>279</v>
      </c>
      <c r="D86" s="10" t="s">
        <v>289</v>
      </c>
      <c r="E86" s="10" t="s">
        <v>290</v>
      </c>
      <c r="F86" s="14" t="s">
        <v>24</v>
      </c>
      <c r="G86" s="14" t="s">
        <v>25</v>
      </c>
      <c r="H86" s="14" t="s">
        <v>15</v>
      </c>
      <c r="I86" s="28">
        <v>3</v>
      </c>
      <c r="J86" s="28">
        <v>24</v>
      </c>
      <c r="K86" s="28">
        <v>2</v>
      </c>
      <c r="L86" s="28">
        <v>16</v>
      </c>
      <c r="M86" s="10"/>
    </row>
    <row r="87" spans="1:13" ht="30.6" hidden="1" customHeight="1">
      <c r="A87" s="14" t="s">
        <v>291</v>
      </c>
      <c r="B87" s="10" t="s">
        <v>278</v>
      </c>
      <c r="C87" s="10" t="s">
        <v>279</v>
      </c>
      <c r="D87" s="10" t="s">
        <v>292</v>
      </c>
      <c r="E87" s="10" t="s">
        <v>293</v>
      </c>
      <c r="F87" s="14" t="s">
        <v>24</v>
      </c>
      <c r="G87" s="14" t="s">
        <v>25</v>
      </c>
      <c r="H87" s="14" t="s">
        <v>15</v>
      </c>
      <c r="I87" s="28">
        <v>4</v>
      </c>
      <c r="J87" s="28">
        <v>32</v>
      </c>
      <c r="K87" s="28">
        <v>2</v>
      </c>
      <c r="L87" s="28">
        <v>16</v>
      </c>
      <c r="M87" s="10"/>
    </row>
    <row r="88" spans="1:13" ht="20.45" hidden="1" customHeight="1">
      <c r="A88" s="14" t="s">
        <v>294</v>
      </c>
      <c r="B88" s="10" t="s">
        <v>278</v>
      </c>
      <c r="C88" s="10" t="s">
        <v>279</v>
      </c>
      <c r="D88" s="10" t="s">
        <v>295</v>
      </c>
      <c r="E88" s="10" t="s">
        <v>296</v>
      </c>
      <c r="F88" s="14" t="s">
        <v>24</v>
      </c>
      <c r="G88" s="14" t="s">
        <v>25</v>
      </c>
      <c r="H88" s="14" t="s">
        <v>18</v>
      </c>
      <c r="I88" s="28">
        <v>9</v>
      </c>
      <c r="J88" s="28">
        <v>72</v>
      </c>
      <c r="K88" s="28">
        <v>6</v>
      </c>
      <c r="L88" s="28">
        <v>48</v>
      </c>
      <c r="M88" s="10"/>
    </row>
    <row r="89" spans="1:13" ht="20.45" hidden="1" customHeight="1">
      <c r="A89" s="14" t="s">
        <v>297</v>
      </c>
      <c r="B89" s="10" t="s">
        <v>278</v>
      </c>
      <c r="C89" s="10" t="s">
        <v>279</v>
      </c>
      <c r="D89" s="10" t="s">
        <v>298</v>
      </c>
      <c r="E89" s="10" t="s">
        <v>299</v>
      </c>
      <c r="F89" s="14" t="s">
        <v>24</v>
      </c>
      <c r="G89" s="14" t="s">
        <v>25</v>
      </c>
      <c r="H89" s="14" t="s">
        <v>15</v>
      </c>
      <c r="I89" s="28">
        <v>3</v>
      </c>
      <c r="J89" s="28">
        <v>24</v>
      </c>
      <c r="K89" s="28">
        <v>2</v>
      </c>
      <c r="L89" s="28">
        <v>16</v>
      </c>
      <c r="M89" s="10"/>
    </row>
    <row r="90" spans="1:13" ht="20.45" hidden="1" customHeight="1">
      <c r="A90" s="14" t="s">
        <v>300</v>
      </c>
      <c r="B90" s="10" t="s">
        <v>278</v>
      </c>
      <c r="C90" s="10" t="s">
        <v>301</v>
      </c>
      <c r="D90" s="10" t="s">
        <v>302</v>
      </c>
      <c r="E90" s="10" t="s">
        <v>303</v>
      </c>
      <c r="F90" s="14" t="s">
        <v>24</v>
      </c>
      <c r="G90" s="14" t="s">
        <v>25</v>
      </c>
      <c r="H90" s="14" t="s">
        <v>15</v>
      </c>
      <c r="I90" s="28">
        <v>4</v>
      </c>
      <c r="J90" s="28">
        <v>32</v>
      </c>
      <c r="K90" s="28">
        <v>2</v>
      </c>
      <c r="L90" s="28">
        <v>16</v>
      </c>
      <c r="M90" s="10"/>
    </row>
    <row r="91" spans="1:13" ht="20.45" hidden="1" customHeight="1">
      <c r="A91" s="14" t="s">
        <v>304</v>
      </c>
      <c r="B91" s="10" t="s">
        <v>278</v>
      </c>
      <c r="C91" s="10" t="s">
        <v>301</v>
      </c>
      <c r="D91" s="10" t="s">
        <v>305</v>
      </c>
      <c r="E91" s="10" t="s">
        <v>306</v>
      </c>
      <c r="F91" s="14" t="s">
        <v>24</v>
      </c>
      <c r="G91" s="14" t="s">
        <v>46</v>
      </c>
      <c r="H91" s="14" t="s">
        <v>26</v>
      </c>
      <c r="I91" s="28">
        <v>5</v>
      </c>
      <c r="J91" s="28">
        <v>40</v>
      </c>
      <c r="K91" s="28">
        <v>3</v>
      </c>
      <c r="L91" s="28">
        <v>24</v>
      </c>
      <c r="M91" s="10"/>
    </row>
    <row r="92" spans="1:13" ht="20.45" hidden="1" customHeight="1">
      <c r="A92" s="14" t="s">
        <v>307</v>
      </c>
      <c r="B92" s="10" t="s">
        <v>278</v>
      </c>
      <c r="C92" s="10" t="s">
        <v>301</v>
      </c>
      <c r="D92" s="10" t="s">
        <v>308</v>
      </c>
      <c r="E92" s="10" t="s">
        <v>309</v>
      </c>
      <c r="F92" s="14" t="s">
        <v>24</v>
      </c>
      <c r="G92" s="14" t="s">
        <v>25</v>
      </c>
      <c r="H92" s="14" t="s">
        <v>26</v>
      </c>
      <c r="I92" s="28">
        <v>4</v>
      </c>
      <c r="J92" s="28">
        <v>32</v>
      </c>
      <c r="K92" s="28">
        <v>2</v>
      </c>
      <c r="L92" s="28">
        <v>16</v>
      </c>
      <c r="M92" s="10"/>
    </row>
    <row r="93" spans="1:13" ht="20.45" hidden="1" customHeight="1">
      <c r="A93" s="14" t="s">
        <v>310</v>
      </c>
      <c r="B93" s="10" t="s">
        <v>278</v>
      </c>
      <c r="C93" s="10" t="s">
        <v>301</v>
      </c>
      <c r="D93" s="10" t="s">
        <v>311</v>
      </c>
      <c r="E93" s="10" t="s">
        <v>312</v>
      </c>
      <c r="F93" s="14" t="s">
        <v>24</v>
      </c>
      <c r="G93" s="14" t="s">
        <v>46</v>
      </c>
      <c r="H93" s="14" t="s">
        <v>26</v>
      </c>
      <c r="I93" s="28">
        <v>5</v>
      </c>
      <c r="J93" s="28">
        <v>40</v>
      </c>
      <c r="K93" s="28">
        <v>3</v>
      </c>
      <c r="L93" s="28">
        <v>24</v>
      </c>
      <c r="M93" s="10"/>
    </row>
    <row r="94" spans="1:13" ht="20.45" hidden="1" customHeight="1">
      <c r="A94" s="14" t="s">
        <v>313</v>
      </c>
      <c r="B94" s="10" t="s">
        <v>278</v>
      </c>
      <c r="C94" s="10" t="s">
        <v>301</v>
      </c>
      <c r="D94" s="10" t="s">
        <v>314</v>
      </c>
      <c r="E94" s="10" t="s">
        <v>315</v>
      </c>
      <c r="F94" s="14" t="s">
        <v>24</v>
      </c>
      <c r="G94" s="14" t="s">
        <v>46</v>
      </c>
      <c r="H94" s="14" t="s">
        <v>26</v>
      </c>
      <c r="I94" s="28">
        <v>4</v>
      </c>
      <c r="J94" s="28">
        <v>32</v>
      </c>
      <c r="K94" s="28">
        <v>2</v>
      </c>
      <c r="L94" s="28">
        <v>16</v>
      </c>
      <c r="M94" s="10"/>
    </row>
    <row r="95" spans="1:13" ht="20.45" hidden="1" customHeight="1">
      <c r="A95" s="14" t="s">
        <v>316</v>
      </c>
      <c r="B95" s="10" t="s">
        <v>278</v>
      </c>
      <c r="C95" s="10" t="s">
        <v>301</v>
      </c>
      <c r="D95" s="10" t="s">
        <v>317</v>
      </c>
      <c r="E95" s="10" t="s">
        <v>318</v>
      </c>
      <c r="F95" s="14" t="s">
        <v>24</v>
      </c>
      <c r="G95" s="14" t="s">
        <v>46</v>
      </c>
      <c r="H95" s="14" t="s">
        <v>18</v>
      </c>
      <c r="I95" s="28">
        <v>9</v>
      </c>
      <c r="J95" s="28">
        <v>72</v>
      </c>
      <c r="K95" s="28">
        <v>6</v>
      </c>
      <c r="L95" s="28">
        <v>48</v>
      </c>
      <c r="M95" s="10"/>
    </row>
    <row r="96" spans="1:13" ht="20.45" hidden="1" customHeight="1">
      <c r="A96" s="14" t="s">
        <v>319</v>
      </c>
      <c r="B96" s="10" t="s">
        <v>278</v>
      </c>
      <c r="C96" s="10" t="s">
        <v>320</v>
      </c>
      <c r="D96" s="10" t="s">
        <v>321</v>
      </c>
      <c r="E96" s="10" t="s">
        <v>322</v>
      </c>
      <c r="F96" s="14" t="s">
        <v>24</v>
      </c>
      <c r="G96" s="14" t="s">
        <v>25</v>
      </c>
      <c r="H96" s="14" t="s">
        <v>15</v>
      </c>
      <c r="I96" s="28">
        <v>3</v>
      </c>
      <c r="J96" s="28">
        <v>24</v>
      </c>
      <c r="K96" s="28">
        <v>2</v>
      </c>
      <c r="L96" s="28">
        <v>16</v>
      </c>
      <c r="M96" s="10"/>
    </row>
    <row r="97" spans="1:13" ht="20.45" hidden="1" customHeight="1">
      <c r="A97" s="14" t="s">
        <v>323</v>
      </c>
      <c r="B97" s="10" t="s">
        <v>278</v>
      </c>
      <c r="C97" s="10" t="s">
        <v>320</v>
      </c>
      <c r="D97" s="10" t="s">
        <v>308</v>
      </c>
      <c r="E97" s="10" t="s">
        <v>324</v>
      </c>
      <c r="F97" s="14" t="s">
        <v>24</v>
      </c>
      <c r="G97" s="14" t="s">
        <v>25</v>
      </c>
      <c r="H97" s="14" t="s">
        <v>26</v>
      </c>
      <c r="I97" s="28">
        <v>4</v>
      </c>
      <c r="J97" s="28">
        <v>32</v>
      </c>
      <c r="K97" s="28">
        <v>2</v>
      </c>
      <c r="L97" s="28">
        <v>16</v>
      </c>
      <c r="M97" s="10"/>
    </row>
    <row r="98" spans="1:13" hidden="1">
      <c r="A98" s="14" t="s">
        <v>325</v>
      </c>
      <c r="B98" s="10" t="s">
        <v>278</v>
      </c>
      <c r="C98" s="10" t="s">
        <v>320</v>
      </c>
      <c r="D98" s="10" t="s">
        <v>326</v>
      </c>
      <c r="E98" s="10" t="s">
        <v>327</v>
      </c>
      <c r="F98" s="14" t="s">
        <v>24</v>
      </c>
      <c r="G98" s="14" t="s">
        <v>25</v>
      </c>
      <c r="H98" s="14" t="s">
        <v>18</v>
      </c>
      <c r="I98" s="28">
        <v>6</v>
      </c>
      <c r="J98" s="28">
        <v>48</v>
      </c>
      <c r="K98" s="28">
        <v>4</v>
      </c>
      <c r="L98" s="28">
        <v>32</v>
      </c>
      <c r="M98" s="10"/>
    </row>
    <row r="99" spans="1:13" hidden="1">
      <c r="A99" s="14" t="s">
        <v>328</v>
      </c>
      <c r="B99" s="10" t="s">
        <v>278</v>
      </c>
      <c r="C99" s="10" t="s">
        <v>320</v>
      </c>
      <c r="D99" s="10" t="s">
        <v>329</v>
      </c>
      <c r="E99" s="10" t="s">
        <v>330</v>
      </c>
      <c r="F99" s="14" t="s">
        <v>24</v>
      </c>
      <c r="G99" s="14" t="s">
        <v>25</v>
      </c>
      <c r="H99" s="14" t="s">
        <v>26</v>
      </c>
      <c r="I99" s="28">
        <v>5</v>
      </c>
      <c r="J99" s="28">
        <v>40</v>
      </c>
      <c r="K99" s="28">
        <v>3</v>
      </c>
      <c r="L99" s="28">
        <v>24</v>
      </c>
      <c r="M99" s="10"/>
    </row>
    <row r="100" spans="1:13" ht="20.45" hidden="1" customHeight="1">
      <c r="A100" s="14" t="s">
        <v>331</v>
      </c>
      <c r="B100" s="10" t="s">
        <v>278</v>
      </c>
      <c r="C100" s="10" t="s">
        <v>320</v>
      </c>
      <c r="D100" s="10" t="s">
        <v>332</v>
      </c>
      <c r="E100" s="10" t="s">
        <v>333</v>
      </c>
      <c r="F100" s="14" t="s">
        <v>24</v>
      </c>
      <c r="G100" s="14" t="s">
        <v>25</v>
      </c>
      <c r="H100" s="14" t="s">
        <v>26</v>
      </c>
      <c r="I100" s="28">
        <v>6</v>
      </c>
      <c r="J100" s="28">
        <v>48</v>
      </c>
      <c r="K100" s="28">
        <v>3</v>
      </c>
      <c r="L100" s="28">
        <v>24</v>
      </c>
      <c r="M100" s="10"/>
    </row>
    <row r="101" spans="1:13" ht="20.45" hidden="1" customHeight="1">
      <c r="A101" s="14" t="s">
        <v>334</v>
      </c>
      <c r="B101" s="10" t="s">
        <v>278</v>
      </c>
      <c r="C101" s="10" t="s">
        <v>320</v>
      </c>
      <c r="D101" s="10" t="s">
        <v>335</v>
      </c>
      <c r="E101" s="10" t="s">
        <v>336</v>
      </c>
      <c r="F101" s="14" t="s">
        <v>24</v>
      </c>
      <c r="G101" s="14" t="s">
        <v>25</v>
      </c>
      <c r="H101" s="14" t="s">
        <v>18</v>
      </c>
      <c r="I101" s="28">
        <v>7</v>
      </c>
      <c r="J101" s="28">
        <v>56</v>
      </c>
      <c r="K101" s="28">
        <v>5</v>
      </c>
      <c r="L101" s="28">
        <v>40</v>
      </c>
      <c r="M101" s="10"/>
    </row>
    <row r="102" spans="1:13" hidden="1">
      <c r="A102" s="14" t="s">
        <v>337</v>
      </c>
      <c r="B102" s="10" t="s">
        <v>278</v>
      </c>
      <c r="C102" s="10" t="s">
        <v>320</v>
      </c>
      <c r="D102" s="10" t="s">
        <v>338</v>
      </c>
      <c r="E102" s="10" t="s">
        <v>339</v>
      </c>
      <c r="F102" s="14" t="s">
        <v>24</v>
      </c>
      <c r="G102" s="14" t="s">
        <v>25</v>
      </c>
      <c r="H102" s="14" t="s">
        <v>18</v>
      </c>
      <c r="I102" s="28">
        <v>6</v>
      </c>
      <c r="J102" s="28">
        <v>48</v>
      </c>
      <c r="K102" s="28">
        <v>3</v>
      </c>
      <c r="L102" s="28">
        <v>24</v>
      </c>
      <c r="M102" s="10"/>
    </row>
    <row r="103" spans="1:13" ht="20.45" hidden="1" customHeight="1">
      <c r="A103" s="14" t="s">
        <v>340</v>
      </c>
      <c r="B103" s="10" t="s">
        <v>278</v>
      </c>
      <c r="C103" s="10" t="s">
        <v>320</v>
      </c>
      <c r="D103" s="10" t="s">
        <v>341</v>
      </c>
      <c r="E103" s="10" t="s">
        <v>342</v>
      </c>
      <c r="F103" s="14" t="s">
        <v>24</v>
      </c>
      <c r="G103" s="14" t="s">
        <v>25</v>
      </c>
      <c r="H103" s="14" t="s">
        <v>15</v>
      </c>
      <c r="I103" s="28">
        <v>4</v>
      </c>
      <c r="J103" s="28">
        <v>32</v>
      </c>
      <c r="K103" s="28">
        <v>2</v>
      </c>
      <c r="L103" s="28">
        <v>16</v>
      </c>
      <c r="M103" s="10"/>
    </row>
    <row r="104" spans="1:13" ht="20.45" hidden="1" customHeight="1">
      <c r="A104" s="14" t="s">
        <v>343</v>
      </c>
      <c r="B104" s="10" t="s">
        <v>278</v>
      </c>
      <c r="C104" s="10" t="s">
        <v>344</v>
      </c>
      <c r="D104" s="10" t="s">
        <v>345</v>
      </c>
      <c r="E104" s="10" t="s">
        <v>346</v>
      </c>
      <c r="F104" s="14" t="s">
        <v>24</v>
      </c>
      <c r="G104" s="14" t="s">
        <v>25</v>
      </c>
      <c r="H104" s="14" t="s">
        <v>18</v>
      </c>
      <c r="I104" s="28">
        <v>6</v>
      </c>
      <c r="J104" s="28">
        <v>48</v>
      </c>
      <c r="K104" s="28">
        <v>3</v>
      </c>
      <c r="L104" s="28">
        <v>24</v>
      </c>
      <c r="M104" s="10"/>
    </row>
    <row r="105" spans="1:13" ht="20.45" hidden="1" customHeight="1">
      <c r="A105" s="14" t="s">
        <v>347</v>
      </c>
      <c r="B105" s="10" t="s">
        <v>278</v>
      </c>
      <c r="C105" s="10" t="s">
        <v>344</v>
      </c>
      <c r="D105" s="10" t="s">
        <v>348</v>
      </c>
      <c r="E105" s="10" t="s">
        <v>349</v>
      </c>
      <c r="F105" s="14" t="s">
        <v>24</v>
      </c>
      <c r="G105" s="14" t="s">
        <v>25</v>
      </c>
      <c r="H105" s="14" t="s">
        <v>18</v>
      </c>
      <c r="I105" s="28">
        <v>6</v>
      </c>
      <c r="J105" s="28">
        <v>48</v>
      </c>
      <c r="K105" s="28">
        <v>3</v>
      </c>
      <c r="L105" s="28">
        <v>24</v>
      </c>
      <c r="M105" s="10"/>
    </row>
    <row r="106" spans="1:13" ht="20.45" hidden="1" customHeight="1">
      <c r="A106" s="14" t="s">
        <v>350</v>
      </c>
      <c r="B106" s="10" t="s">
        <v>278</v>
      </c>
      <c r="C106" s="10" t="s">
        <v>344</v>
      </c>
      <c r="D106" s="10" t="s">
        <v>351</v>
      </c>
      <c r="E106" s="10" t="s">
        <v>352</v>
      </c>
      <c r="F106" s="14" t="s">
        <v>24</v>
      </c>
      <c r="G106" s="14" t="s">
        <v>25</v>
      </c>
      <c r="H106" s="14" t="s">
        <v>18</v>
      </c>
      <c r="I106" s="28">
        <v>8</v>
      </c>
      <c r="J106" s="28">
        <v>64</v>
      </c>
      <c r="K106" s="28">
        <v>5</v>
      </c>
      <c r="L106" s="28">
        <v>40</v>
      </c>
      <c r="M106" s="10"/>
    </row>
    <row r="107" spans="1:13" ht="20.45" hidden="1" customHeight="1">
      <c r="A107" s="14" t="s">
        <v>353</v>
      </c>
      <c r="B107" s="10" t="s">
        <v>278</v>
      </c>
      <c r="C107" s="10" t="s">
        <v>344</v>
      </c>
      <c r="D107" s="10" t="s">
        <v>354</v>
      </c>
      <c r="E107" s="10" t="s">
        <v>355</v>
      </c>
      <c r="F107" s="14" t="s">
        <v>24</v>
      </c>
      <c r="G107" s="14" t="s">
        <v>25</v>
      </c>
      <c r="H107" s="14" t="s">
        <v>18</v>
      </c>
      <c r="I107" s="28">
        <v>8</v>
      </c>
      <c r="J107" s="28">
        <v>64</v>
      </c>
      <c r="K107" s="28">
        <v>5</v>
      </c>
      <c r="L107" s="28">
        <v>40</v>
      </c>
      <c r="M107" s="10"/>
    </row>
    <row r="108" spans="1:13" ht="20.45" hidden="1" customHeight="1">
      <c r="A108" s="14" t="s">
        <v>356</v>
      </c>
      <c r="B108" s="10" t="s">
        <v>278</v>
      </c>
      <c r="C108" s="10" t="s">
        <v>357</v>
      </c>
      <c r="D108" s="10" t="s">
        <v>358</v>
      </c>
      <c r="E108" s="10" t="s">
        <v>359</v>
      </c>
      <c r="F108" s="14" t="s">
        <v>24</v>
      </c>
      <c r="G108" s="14" t="s">
        <v>46</v>
      </c>
      <c r="H108" s="14" t="s">
        <v>18</v>
      </c>
      <c r="I108" s="28">
        <v>6</v>
      </c>
      <c r="J108" s="28">
        <v>48</v>
      </c>
      <c r="K108" s="28">
        <v>3</v>
      </c>
      <c r="L108" s="28">
        <v>24</v>
      </c>
      <c r="M108" s="10"/>
    </row>
    <row r="109" spans="1:13" ht="20.45" hidden="1" customHeight="1">
      <c r="A109" s="14" t="s">
        <v>360</v>
      </c>
      <c r="B109" s="10" t="s">
        <v>278</v>
      </c>
      <c r="C109" s="10" t="s">
        <v>357</v>
      </c>
      <c r="D109" s="10" t="s">
        <v>361</v>
      </c>
      <c r="E109" s="10" t="s">
        <v>362</v>
      </c>
      <c r="F109" s="14" t="s">
        <v>24</v>
      </c>
      <c r="G109" s="14" t="s">
        <v>46</v>
      </c>
      <c r="H109" s="14" t="s">
        <v>26</v>
      </c>
      <c r="I109" s="28">
        <v>5</v>
      </c>
      <c r="J109" s="28">
        <v>40</v>
      </c>
      <c r="K109" s="28">
        <v>3</v>
      </c>
      <c r="L109" s="28">
        <v>24</v>
      </c>
      <c r="M109" s="10"/>
    </row>
    <row r="110" spans="1:13" ht="20.45" hidden="1" customHeight="1">
      <c r="A110" s="14" t="s">
        <v>363</v>
      </c>
      <c r="B110" s="10" t="s">
        <v>278</v>
      </c>
      <c r="C110" s="10" t="s">
        <v>357</v>
      </c>
      <c r="D110" s="10" t="s">
        <v>364</v>
      </c>
      <c r="E110" s="10" t="s">
        <v>365</v>
      </c>
      <c r="F110" s="14" t="s">
        <v>24</v>
      </c>
      <c r="G110" s="14" t="s">
        <v>25</v>
      </c>
      <c r="H110" s="14" t="s">
        <v>26</v>
      </c>
      <c r="I110" s="28">
        <v>5</v>
      </c>
      <c r="J110" s="28">
        <v>40</v>
      </c>
      <c r="K110" s="28">
        <v>3</v>
      </c>
      <c r="L110" s="28">
        <v>24</v>
      </c>
      <c r="M110" s="10"/>
    </row>
    <row r="111" spans="1:13" ht="20.45" hidden="1" customHeight="1">
      <c r="A111" s="14" t="s">
        <v>366</v>
      </c>
      <c r="B111" s="10" t="s">
        <v>278</v>
      </c>
      <c r="C111" s="10" t="s">
        <v>357</v>
      </c>
      <c r="D111" s="10" t="s">
        <v>367</v>
      </c>
      <c r="E111" s="10" t="s">
        <v>368</v>
      </c>
      <c r="F111" s="14" t="s">
        <v>24</v>
      </c>
      <c r="G111" s="14" t="s">
        <v>46</v>
      </c>
      <c r="H111" s="14" t="s">
        <v>26</v>
      </c>
      <c r="I111" s="28">
        <v>5</v>
      </c>
      <c r="J111" s="28">
        <v>40</v>
      </c>
      <c r="K111" s="28">
        <v>3</v>
      </c>
      <c r="L111" s="28">
        <v>24</v>
      </c>
      <c r="M111" s="10"/>
    </row>
    <row r="112" spans="1:13" ht="20.45" hidden="1" customHeight="1">
      <c r="A112" s="14" t="s">
        <v>369</v>
      </c>
      <c r="B112" s="10" t="s">
        <v>278</v>
      </c>
      <c r="C112" s="10" t="s">
        <v>357</v>
      </c>
      <c r="D112" s="10" t="s">
        <v>370</v>
      </c>
      <c r="E112" s="10" t="s">
        <v>371</v>
      </c>
      <c r="F112" s="14" t="s">
        <v>24</v>
      </c>
      <c r="G112" s="14" t="s">
        <v>46</v>
      </c>
      <c r="H112" s="14" t="s">
        <v>26</v>
      </c>
      <c r="I112" s="28">
        <v>5</v>
      </c>
      <c r="J112" s="28">
        <v>40</v>
      </c>
      <c r="K112" s="28">
        <v>3</v>
      </c>
      <c r="L112" s="28">
        <v>24</v>
      </c>
      <c r="M112" s="10"/>
    </row>
    <row r="113" spans="1:13" ht="20.45" hidden="1" customHeight="1">
      <c r="A113" s="14" t="s">
        <v>372</v>
      </c>
      <c r="B113" s="10" t="s">
        <v>278</v>
      </c>
      <c r="C113" s="10" t="s">
        <v>357</v>
      </c>
      <c r="D113" s="10" t="s">
        <v>373</v>
      </c>
      <c r="E113" s="10" t="s">
        <v>374</v>
      </c>
      <c r="F113" s="14" t="s">
        <v>24</v>
      </c>
      <c r="G113" s="14" t="s">
        <v>46</v>
      </c>
      <c r="H113" s="14" t="s">
        <v>26</v>
      </c>
      <c r="I113" s="28">
        <v>5</v>
      </c>
      <c r="J113" s="28">
        <v>40</v>
      </c>
      <c r="K113" s="28">
        <v>3</v>
      </c>
      <c r="L113" s="28">
        <v>24</v>
      </c>
      <c r="M113" s="10"/>
    </row>
    <row r="114" spans="1:13" ht="20.45" hidden="1" customHeight="1">
      <c r="A114" s="14" t="s">
        <v>375</v>
      </c>
      <c r="B114" s="10" t="s">
        <v>278</v>
      </c>
      <c r="C114" s="10" t="s">
        <v>357</v>
      </c>
      <c r="D114" s="10" t="s">
        <v>376</v>
      </c>
      <c r="E114" s="10" t="s">
        <v>377</v>
      </c>
      <c r="F114" s="14" t="s">
        <v>24</v>
      </c>
      <c r="G114" s="14" t="s">
        <v>46</v>
      </c>
      <c r="H114" s="14" t="s">
        <v>26</v>
      </c>
      <c r="I114" s="28">
        <v>5</v>
      </c>
      <c r="J114" s="28">
        <v>40</v>
      </c>
      <c r="K114" s="28">
        <v>3</v>
      </c>
      <c r="L114" s="28">
        <v>24</v>
      </c>
      <c r="M114" s="10"/>
    </row>
    <row r="115" spans="1:13" ht="20.45" hidden="1" customHeight="1">
      <c r="A115" s="14" t="s">
        <v>378</v>
      </c>
      <c r="B115" s="10" t="s">
        <v>278</v>
      </c>
      <c r="C115" s="10" t="s">
        <v>357</v>
      </c>
      <c r="D115" s="10" t="s">
        <v>379</v>
      </c>
      <c r="E115" s="10" t="s">
        <v>380</v>
      </c>
      <c r="F115" s="14" t="s">
        <v>24</v>
      </c>
      <c r="G115" s="14" t="s">
        <v>25</v>
      </c>
      <c r="H115" s="14" t="s">
        <v>26</v>
      </c>
      <c r="I115" s="28">
        <v>7</v>
      </c>
      <c r="J115" s="28">
        <v>56</v>
      </c>
      <c r="K115" s="28">
        <v>4</v>
      </c>
      <c r="L115" s="28">
        <v>32</v>
      </c>
      <c r="M115" s="10"/>
    </row>
    <row r="116" spans="1:13" ht="20.45" hidden="1" customHeight="1">
      <c r="A116" s="14" t="s">
        <v>381</v>
      </c>
      <c r="B116" s="10" t="s">
        <v>278</v>
      </c>
      <c r="C116" s="10" t="s">
        <v>382</v>
      </c>
      <c r="D116" s="10" t="s">
        <v>383</v>
      </c>
      <c r="E116" s="10" t="s">
        <v>384</v>
      </c>
      <c r="F116" s="14" t="s">
        <v>24</v>
      </c>
      <c r="G116" s="14" t="s">
        <v>25</v>
      </c>
      <c r="H116" s="14" t="s">
        <v>18</v>
      </c>
      <c r="I116" s="28">
        <v>10</v>
      </c>
      <c r="J116" s="28">
        <v>80</v>
      </c>
      <c r="K116" s="28">
        <v>7</v>
      </c>
      <c r="L116" s="28">
        <v>56</v>
      </c>
      <c r="M116" s="10"/>
    </row>
    <row r="117" spans="1:13" ht="20.45" hidden="1" customHeight="1">
      <c r="A117" s="14" t="s">
        <v>385</v>
      </c>
      <c r="B117" s="10" t="s">
        <v>278</v>
      </c>
      <c r="C117" s="10" t="s">
        <v>382</v>
      </c>
      <c r="D117" s="10" t="s">
        <v>386</v>
      </c>
      <c r="E117" s="10" t="s">
        <v>387</v>
      </c>
      <c r="F117" s="14" t="s">
        <v>24</v>
      </c>
      <c r="G117" s="14" t="s">
        <v>25</v>
      </c>
      <c r="H117" s="14" t="s">
        <v>26</v>
      </c>
      <c r="I117" s="28">
        <v>6</v>
      </c>
      <c r="J117" s="28">
        <v>48</v>
      </c>
      <c r="K117" s="28">
        <v>4</v>
      </c>
      <c r="L117" s="28">
        <v>32</v>
      </c>
      <c r="M117" s="10"/>
    </row>
    <row r="118" spans="1:13" ht="20.45" hidden="1" customHeight="1">
      <c r="A118" s="14" t="s">
        <v>388</v>
      </c>
      <c r="B118" s="10" t="s">
        <v>278</v>
      </c>
      <c r="C118" s="10" t="s">
        <v>382</v>
      </c>
      <c r="D118" s="10" t="s">
        <v>389</v>
      </c>
      <c r="E118" s="10" t="s">
        <v>390</v>
      </c>
      <c r="F118" s="14" t="s">
        <v>24</v>
      </c>
      <c r="G118" s="14" t="s">
        <v>25</v>
      </c>
      <c r="H118" s="14" t="s">
        <v>26</v>
      </c>
      <c r="I118" s="28">
        <v>8</v>
      </c>
      <c r="J118" s="28">
        <v>64</v>
      </c>
      <c r="K118" s="28">
        <v>5</v>
      </c>
      <c r="L118" s="28">
        <v>40</v>
      </c>
      <c r="M118" s="10"/>
    </row>
    <row r="119" spans="1:13" ht="20.45" hidden="1" customHeight="1">
      <c r="A119" s="14" t="s">
        <v>391</v>
      </c>
      <c r="B119" s="10" t="s">
        <v>278</v>
      </c>
      <c r="C119" s="10" t="s">
        <v>382</v>
      </c>
      <c r="D119" s="10" t="s">
        <v>392</v>
      </c>
      <c r="E119" s="10" t="s">
        <v>393</v>
      </c>
      <c r="F119" s="14" t="s">
        <v>24</v>
      </c>
      <c r="G119" s="14" t="s">
        <v>25</v>
      </c>
      <c r="H119" s="14" t="s">
        <v>26</v>
      </c>
      <c r="I119" s="28">
        <v>8</v>
      </c>
      <c r="J119" s="28">
        <v>64</v>
      </c>
      <c r="K119" s="28">
        <v>5</v>
      </c>
      <c r="L119" s="28">
        <v>40</v>
      </c>
      <c r="M119" s="10"/>
    </row>
    <row r="120" spans="1:13" ht="20.45" hidden="1" customHeight="1">
      <c r="A120" s="14" t="s">
        <v>394</v>
      </c>
      <c r="B120" s="10" t="s">
        <v>278</v>
      </c>
      <c r="C120" s="10" t="s">
        <v>382</v>
      </c>
      <c r="D120" s="10" t="s">
        <v>395</v>
      </c>
      <c r="E120" s="10" t="s">
        <v>396</v>
      </c>
      <c r="F120" s="14" t="s">
        <v>128</v>
      </c>
      <c r="G120" s="14" t="s">
        <v>25</v>
      </c>
      <c r="H120" s="14" t="s">
        <v>18</v>
      </c>
      <c r="I120" s="28">
        <v>16</v>
      </c>
      <c r="J120" s="28">
        <v>128</v>
      </c>
      <c r="K120" s="28">
        <v>11</v>
      </c>
      <c r="L120" s="28">
        <v>88</v>
      </c>
      <c r="M120" s="10"/>
    </row>
    <row r="121" spans="1:13" ht="30.6" hidden="1" customHeight="1">
      <c r="A121" s="14" t="s">
        <v>397</v>
      </c>
      <c r="B121" s="10" t="s">
        <v>278</v>
      </c>
      <c r="C121" s="10" t="s">
        <v>398</v>
      </c>
      <c r="D121" s="10" t="s">
        <v>399</v>
      </c>
      <c r="E121" s="10" t="s">
        <v>400</v>
      </c>
      <c r="F121" s="14" t="s">
        <v>24</v>
      </c>
      <c r="G121" s="14" t="s">
        <v>25</v>
      </c>
      <c r="H121" s="14" t="s">
        <v>26</v>
      </c>
      <c r="I121" s="28">
        <v>7</v>
      </c>
      <c r="J121" s="28">
        <v>56</v>
      </c>
      <c r="K121" s="28">
        <v>4</v>
      </c>
      <c r="L121" s="28">
        <v>32</v>
      </c>
      <c r="M121" s="10"/>
    </row>
    <row r="122" spans="1:13" ht="30.6" hidden="1" customHeight="1">
      <c r="A122" s="14" t="s">
        <v>401</v>
      </c>
      <c r="B122" s="10" t="s">
        <v>278</v>
      </c>
      <c r="C122" s="10" t="s">
        <v>398</v>
      </c>
      <c r="D122" s="10" t="s">
        <v>402</v>
      </c>
      <c r="E122" s="10" t="s">
        <v>403</v>
      </c>
      <c r="F122" s="14" t="s">
        <v>128</v>
      </c>
      <c r="G122" s="14" t="s">
        <v>132</v>
      </c>
      <c r="H122" s="14" t="s">
        <v>18</v>
      </c>
      <c r="I122" s="28">
        <v>10</v>
      </c>
      <c r="J122" s="28">
        <v>80</v>
      </c>
      <c r="K122" s="28">
        <v>6</v>
      </c>
      <c r="L122" s="28">
        <v>48</v>
      </c>
      <c r="M122" s="10"/>
    </row>
    <row r="123" spans="1:13" ht="30.6" hidden="1" customHeight="1">
      <c r="A123" s="14" t="s">
        <v>404</v>
      </c>
      <c r="B123" s="10" t="s">
        <v>278</v>
      </c>
      <c r="C123" s="10" t="s">
        <v>398</v>
      </c>
      <c r="D123" s="10" t="s">
        <v>405</v>
      </c>
      <c r="E123" s="10" t="s">
        <v>406</v>
      </c>
      <c r="F123" s="14" t="s">
        <v>128</v>
      </c>
      <c r="G123" s="14" t="s">
        <v>132</v>
      </c>
      <c r="H123" s="14" t="s">
        <v>18</v>
      </c>
      <c r="I123" s="28">
        <v>16</v>
      </c>
      <c r="J123" s="28">
        <v>128</v>
      </c>
      <c r="K123" s="28">
        <v>11</v>
      </c>
      <c r="L123" s="28">
        <v>88</v>
      </c>
      <c r="M123" s="10"/>
    </row>
    <row r="124" spans="1:13" ht="30.6" hidden="1" customHeight="1">
      <c r="A124" s="14" t="s">
        <v>407</v>
      </c>
      <c r="B124" s="10" t="s">
        <v>278</v>
      </c>
      <c r="C124" s="10" t="s">
        <v>398</v>
      </c>
      <c r="D124" s="10" t="s">
        <v>408</v>
      </c>
      <c r="E124" s="10" t="s">
        <v>409</v>
      </c>
      <c r="F124" s="14" t="s">
        <v>128</v>
      </c>
      <c r="G124" s="14" t="s">
        <v>132</v>
      </c>
      <c r="H124" s="14" t="s">
        <v>18</v>
      </c>
      <c r="I124" s="28">
        <v>8</v>
      </c>
      <c r="J124" s="28">
        <v>64</v>
      </c>
      <c r="K124" s="28">
        <v>5</v>
      </c>
      <c r="L124" s="28">
        <v>40</v>
      </c>
      <c r="M124" s="10"/>
    </row>
    <row r="125" spans="1:13" ht="30.6" hidden="1" customHeight="1">
      <c r="A125" s="14" t="s">
        <v>410</v>
      </c>
      <c r="B125" s="10" t="s">
        <v>278</v>
      </c>
      <c r="C125" s="10" t="s">
        <v>398</v>
      </c>
      <c r="D125" s="10" t="s">
        <v>411</v>
      </c>
      <c r="E125" s="10" t="s">
        <v>412</v>
      </c>
      <c r="F125" s="14" t="s">
        <v>24</v>
      </c>
      <c r="G125" s="14" t="s">
        <v>25</v>
      </c>
      <c r="H125" s="14" t="s">
        <v>26</v>
      </c>
      <c r="I125" s="28">
        <v>8</v>
      </c>
      <c r="J125" s="28">
        <v>64</v>
      </c>
      <c r="K125" s="28">
        <v>5</v>
      </c>
      <c r="L125" s="28">
        <v>40</v>
      </c>
      <c r="M125" s="10"/>
    </row>
    <row r="126" spans="1:13" ht="30.6" hidden="1" customHeight="1">
      <c r="A126" s="14" t="s">
        <v>413</v>
      </c>
      <c r="B126" s="10" t="s">
        <v>278</v>
      </c>
      <c r="C126" s="10" t="s">
        <v>398</v>
      </c>
      <c r="D126" s="10" t="s">
        <v>414</v>
      </c>
      <c r="E126" s="10" t="s">
        <v>415</v>
      </c>
      <c r="F126" s="14" t="s">
        <v>24</v>
      </c>
      <c r="G126" s="14" t="s">
        <v>25</v>
      </c>
      <c r="H126" s="14" t="s">
        <v>18</v>
      </c>
      <c r="I126" s="28">
        <v>14</v>
      </c>
      <c r="J126" s="28">
        <v>112</v>
      </c>
      <c r="K126" s="28">
        <v>10</v>
      </c>
      <c r="L126" s="28">
        <v>80</v>
      </c>
      <c r="M126" s="10"/>
    </row>
    <row r="127" spans="1:13" ht="30.6" hidden="1" customHeight="1">
      <c r="A127" s="15" t="s">
        <v>416</v>
      </c>
      <c r="B127" s="11" t="s">
        <v>417</v>
      </c>
      <c r="C127" s="11" t="s">
        <v>418</v>
      </c>
      <c r="D127" s="11" t="s">
        <v>419</v>
      </c>
      <c r="E127" s="11" t="s">
        <v>420</v>
      </c>
      <c r="F127" s="15" t="s">
        <v>24</v>
      </c>
      <c r="G127" s="15" t="s">
        <v>25</v>
      </c>
      <c r="H127" s="15" t="s">
        <v>18</v>
      </c>
      <c r="I127" s="28">
        <v>20</v>
      </c>
      <c r="J127" s="28">
        <v>160</v>
      </c>
      <c r="K127" s="28">
        <v>16</v>
      </c>
      <c r="L127" s="28">
        <v>128</v>
      </c>
      <c r="M127" s="11"/>
    </row>
    <row r="128" spans="1:13" ht="20.45" hidden="1" customHeight="1">
      <c r="A128" s="15" t="s">
        <v>421</v>
      </c>
      <c r="B128" s="11" t="s">
        <v>417</v>
      </c>
      <c r="C128" s="11" t="s">
        <v>418</v>
      </c>
      <c r="D128" s="11" t="s">
        <v>422</v>
      </c>
      <c r="E128" s="11" t="s">
        <v>423</v>
      </c>
      <c r="F128" s="15" t="s">
        <v>24</v>
      </c>
      <c r="G128" s="15" t="s">
        <v>25</v>
      </c>
      <c r="H128" s="15" t="s">
        <v>18</v>
      </c>
      <c r="I128" s="28">
        <v>20</v>
      </c>
      <c r="J128" s="28">
        <v>160</v>
      </c>
      <c r="K128" s="28">
        <v>16</v>
      </c>
      <c r="L128" s="28">
        <v>128</v>
      </c>
      <c r="M128" s="11"/>
    </row>
    <row r="129" spans="1:13" ht="20.45" hidden="1" customHeight="1">
      <c r="A129" s="15" t="s">
        <v>424</v>
      </c>
      <c r="B129" s="11" t="s">
        <v>417</v>
      </c>
      <c r="C129" s="11" t="s">
        <v>418</v>
      </c>
      <c r="D129" s="11" t="s">
        <v>425</v>
      </c>
      <c r="E129" s="11" t="s">
        <v>426</v>
      </c>
      <c r="F129" s="15" t="s">
        <v>24</v>
      </c>
      <c r="G129" s="15" t="s">
        <v>25</v>
      </c>
      <c r="H129" s="15" t="s">
        <v>26</v>
      </c>
      <c r="I129" s="28">
        <v>10</v>
      </c>
      <c r="J129" s="28">
        <v>80</v>
      </c>
      <c r="K129" s="28">
        <v>8</v>
      </c>
      <c r="L129" s="28">
        <v>64</v>
      </c>
      <c r="M129" s="11"/>
    </row>
    <row r="130" spans="1:13" ht="30.6" hidden="1" customHeight="1">
      <c r="A130" s="15" t="s">
        <v>427</v>
      </c>
      <c r="B130" s="11" t="s">
        <v>417</v>
      </c>
      <c r="C130" s="11" t="s">
        <v>418</v>
      </c>
      <c r="D130" s="11" t="s">
        <v>428</v>
      </c>
      <c r="E130" s="11" t="s">
        <v>429</v>
      </c>
      <c r="F130" s="15" t="s">
        <v>24</v>
      </c>
      <c r="G130" s="15" t="s">
        <v>25</v>
      </c>
      <c r="H130" s="15" t="s">
        <v>26</v>
      </c>
      <c r="I130" s="28">
        <v>12</v>
      </c>
      <c r="J130" s="28">
        <v>96</v>
      </c>
      <c r="K130" s="28">
        <v>7</v>
      </c>
      <c r="L130" s="28">
        <v>56</v>
      </c>
      <c r="M130" s="11"/>
    </row>
    <row r="131" spans="1:13" ht="20.45" hidden="1" customHeight="1">
      <c r="A131" s="15" t="s">
        <v>430</v>
      </c>
      <c r="B131" s="11" t="s">
        <v>417</v>
      </c>
      <c r="C131" s="11" t="s">
        <v>418</v>
      </c>
      <c r="D131" s="11" t="s">
        <v>431</v>
      </c>
      <c r="E131" s="11" t="s">
        <v>432</v>
      </c>
      <c r="F131" s="15" t="s">
        <v>24</v>
      </c>
      <c r="G131" s="15" t="s">
        <v>25</v>
      </c>
      <c r="H131" s="15" t="s">
        <v>18</v>
      </c>
      <c r="I131" s="28">
        <v>28</v>
      </c>
      <c r="J131" s="28">
        <v>224</v>
      </c>
      <c r="K131" s="28">
        <v>20</v>
      </c>
      <c r="L131" s="28">
        <v>160</v>
      </c>
      <c r="M131" s="11"/>
    </row>
    <row r="132" spans="1:13" ht="20.45" hidden="1" customHeight="1">
      <c r="A132" s="15" t="s">
        <v>433</v>
      </c>
      <c r="B132" s="11" t="s">
        <v>417</v>
      </c>
      <c r="C132" s="11" t="s">
        <v>418</v>
      </c>
      <c r="D132" s="11" t="s">
        <v>434</v>
      </c>
      <c r="E132" s="11" t="s">
        <v>435</v>
      </c>
      <c r="F132" s="15" t="s">
        <v>24</v>
      </c>
      <c r="G132" s="15" t="s">
        <v>25</v>
      </c>
      <c r="H132" s="15" t="s">
        <v>18</v>
      </c>
      <c r="I132" s="28">
        <v>22</v>
      </c>
      <c r="J132" s="28">
        <v>176</v>
      </c>
      <c r="K132" s="28">
        <v>18</v>
      </c>
      <c r="L132" s="28">
        <v>144</v>
      </c>
      <c r="M132" s="11"/>
    </row>
    <row r="133" spans="1:13" ht="20.45" hidden="1" customHeight="1">
      <c r="A133" s="15" t="s">
        <v>436</v>
      </c>
      <c r="B133" s="11" t="s">
        <v>417</v>
      </c>
      <c r="C133" s="11" t="s">
        <v>418</v>
      </c>
      <c r="D133" s="11" t="s">
        <v>437</v>
      </c>
      <c r="E133" s="11" t="s">
        <v>438</v>
      </c>
      <c r="F133" s="15" t="s">
        <v>24</v>
      </c>
      <c r="G133" s="15" t="s">
        <v>25</v>
      </c>
      <c r="H133" s="15" t="s">
        <v>26</v>
      </c>
      <c r="I133" s="28">
        <v>8</v>
      </c>
      <c r="J133" s="28">
        <v>64</v>
      </c>
      <c r="K133" s="28">
        <v>4</v>
      </c>
      <c r="L133" s="28">
        <v>32</v>
      </c>
      <c r="M133" s="11"/>
    </row>
    <row r="134" spans="1:13" ht="20.45" hidden="1" customHeight="1">
      <c r="A134" s="15" t="s">
        <v>439</v>
      </c>
      <c r="B134" s="11" t="s">
        <v>417</v>
      </c>
      <c r="C134" s="11" t="s">
        <v>418</v>
      </c>
      <c r="D134" s="11" t="s">
        <v>440</v>
      </c>
      <c r="E134" s="11" t="s">
        <v>441</v>
      </c>
      <c r="F134" s="15" t="s">
        <v>24</v>
      </c>
      <c r="G134" s="15" t="s">
        <v>25</v>
      </c>
      <c r="H134" s="15" t="s">
        <v>26</v>
      </c>
      <c r="I134" s="28">
        <v>8</v>
      </c>
      <c r="J134" s="28">
        <v>64</v>
      </c>
      <c r="K134" s="28">
        <v>5</v>
      </c>
      <c r="L134" s="28">
        <v>40</v>
      </c>
      <c r="M134" s="11"/>
    </row>
    <row r="135" spans="1:13" ht="20.45" hidden="1" customHeight="1">
      <c r="A135" s="15" t="s">
        <v>442</v>
      </c>
      <c r="B135" s="11" t="s">
        <v>417</v>
      </c>
      <c r="C135" s="11" t="s">
        <v>418</v>
      </c>
      <c r="D135" s="11" t="s">
        <v>443</v>
      </c>
      <c r="E135" s="11" t="s">
        <v>444</v>
      </c>
      <c r="F135" s="15" t="s">
        <v>24</v>
      </c>
      <c r="G135" s="15" t="s">
        <v>25</v>
      </c>
      <c r="H135" s="15" t="s">
        <v>26</v>
      </c>
      <c r="I135" s="28">
        <v>8</v>
      </c>
      <c r="J135" s="28">
        <v>64</v>
      </c>
      <c r="K135" s="28">
        <v>6</v>
      </c>
      <c r="L135" s="28">
        <v>48</v>
      </c>
      <c r="M135" s="11"/>
    </row>
    <row r="136" spans="1:13" ht="20.45" hidden="1" customHeight="1">
      <c r="A136" s="15" t="s">
        <v>445</v>
      </c>
      <c r="B136" s="11" t="s">
        <v>417</v>
      </c>
      <c r="C136" s="11" t="s">
        <v>418</v>
      </c>
      <c r="D136" s="11" t="s">
        <v>446</v>
      </c>
      <c r="E136" s="11" t="s">
        <v>447</v>
      </c>
      <c r="F136" s="15" t="s">
        <v>24</v>
      </c>
      <c r="G136" s="15" t="s">
        <v>25</v>
      </c>
      <c r="H136" s="15" t="s">
        <v>15</v>
      </c>
      <c r="I136" s="28">
        <v>5</v>
      </c>
      <c r="J136" s="28">
        <v>40</v>
      </c>
      <c r="K136" s="28">
        <v>5</v>
      </c>
      <c r="L136" s="28">
        <v>40</v>
      </c>
      <c r="M136" s="11"/>
    </row>
    <row r="137" spans="1:13" ht="20.45" hidden="1" customHeight="1">
      <c r="A137" s="15" t="s">
        <v>448</v>
      </c>
      <c r="B137" s="11" t="s">
        <v>417</v>
      </c>
      <c r="C137" s="11" t="s">
        <v>418</v>
      </c>
      <c r="D137" s="11" t="s">
        <v>449</v>
      </c>
      <c r="E137" s="11" t="s">
        <v>450</v>
      </c>
      <c r="F137" s="15" t="s">
        <v>24</v>
      </c>
      <c r="G137" s="15" t="s">
        <v>25</v>
      </c>
      <c r="H137" s="15" t="s">
        <v>18</v>
      </c>
      <c r="I137" s="28">
        <v>20</v>
      </c>
      <c r="J137" s="28">
        <v>160</v>
      </c>
      <c r="K137" s="28">
        <v>18</v>
      </c>
      <c r="L137" s="28">
        <v>144</v>
      </c>
      <c r="M137" s="11"/>
    </row>
    <row r="138" spans="1:13" ht="40.9" customHeight="1">
      <c r="A138" s="12" t="s">
        <v>451</v>
      </c>
      <c r="B138" s="7" t="s">
        <v>20</v>
      </c>
      <c r="C138" s="7" t="s">
        <v>40</v>
      </c>
      <c r="D138" s="7" t="s">
        <v>452</v>
      </c>
      <c r="E138" s="7" t="s">
        <v>453</v>
      </c>
      <c r="F138" s="12" t="s">
        <v>24</v>
      </c>
      <c r="G138" s="12" t="s">
        <v>25</v>
      </c>
      <c r="H138" s="12" t="s">
        <v>18</v>
      </c>
      <c r="I138" s="28">
        <v>15</v>
      </c>
      <c r="J138" s="28">
        <v>120</v>
      </c>
      <c r="K138" s="28">
        <v>9</v>
      </c>
      <c r="L138" s="28">
        <v>72</v>
      </c>
      <c r="M138" s="7"/>
    </row>
    <row r="139" spans="1:13" ht="40.9" customHeight="1">
      <c r="A139" s="12" t="s">
        <v>454</v>
      </c>
      <c r="B139" s="7" t="s">
        <v>20</v>
      </c>
      <c r="C139" s="7" t="s">
        <v>60</v>
      </c>
      <c r="D139" s="7" t="s">
        <v>455</v>
      </c>
      <c r="E139" s="7" t="s">
        <v>456</v>
      </c>
      <c r="F139" s="12" t="s">
        <v>24</v>
      </c>
      <c r="G139" s="12" t="s">
        <v>25</v>
      </c>
      <c r="H139" s="12" t="s">
        <v>26</v>
      </c>
      <c r="I139" s="28">
        <v>6</v>
      </c>
      <c r="J139" s="28">
        <v>48</v>
      </c>
      <c r="K139" s="28">
        <v>3</v>
      </c>
      <c r="L139" s="28">
        <v>24</v>
      </c>
      <c r="M139" s="7"/>
    </row>
    <row r="140" spans="1:13" ht="40.9" customHeight="1">
      <c r="A140" s="12" t="s">
        <v>457</v>
      </c>
      <c r="B140" s="7" t="s">
        <v>20</v>
      </c>
      <c r="C140" s="7" t="s">
        <v>88</v>
      </c>
      <c r="D140" s="7" t="s">
        <v>458</v>
      </c>
      <c r="E140" s="7" t="s">
        <v>459</v>
      </c>
      <c r="F140" s="12" t="s">
        <v>24</v>
      </c>
      <c r="G140" s="12" t="s">
        <v>25</v>
      </c>
      <c r="H140" s="12" t="s">
        <v>15</v>
      </c>
      <c r="I140" s="28">
        <v>3</v>
      </c>
      <c r="J140" s="28">
        <v>24</v>
      </c>
      <c r="K140" s="28">
        <v>3</v>
      </c>
      <c r="L140" s="28">
        <v>24</v>
      </c>
      <c r="M140" s="7"/>
    </row>
    <row r="141" spans="1:13" ht="40.9" customHeight="1">
      <c r="A141" s="12" t="s">
        <v>460</v>
      </c>
      <c r="B141" s="7" t="s">
        <v>20</v>
      </c>
      <c r="C141" s="7" t="s">
        <v>40</v>
      </c>
      <c r="D141" s="7" t="s">
        <v>461</v>
      </c>
      <c r="E141" s="7" t="s">
        <v>462</v>
      </c>
      <c r="F141" s="12" t="s">
        <v>24</v>
      </c>
      <c r="G141" s="12" t="s">
        <v>46</v>
      </c>
      <c r="H141" s="12" t="s">
        <v>15</v>
      </c>
      <c r="I141" s="28">
        <v>4</v>
      </c>
      <c r="J141" s="28">
        <v>32</v>
      </c>
      <c r="K141" s="28">
        <v>2</v>
      </c>
      <c r="L141" s="28">
        <v>16</v>
      </c>
      <c r="M141" s="7"/>
    </row>
    <row r="142" spans="1:13" ht="40.9" customHeight="1">
      <c r="A142" s="13" t="s">
        <v>463</v>
      </c>
      <c r="B142" s="9" t="s">
        <v>154</v>
      </c>
      <c r="C142" s="9" t="s">
        <v>155</v>
      </c>
      <c r="D142" s="9" t="s">
        <v>464</v>
      </c>
      <c r="E142" s="9" t="s">
        <v>465</v>
      </c>
      <c r="F142" s="13" t="s">
        <v>158</v>
      </c>
      <c r="G142" s="13" t="s">
        <v>25</v>
      </c>
      <c r="H142" s="13" t="s">
        <v>26</v>
      </c>
      <c r="I142" s="28">
        <v>7</v>
      </c>
      <c r="J142" s="28">
        <v>56</v>
      </c>
      <c r="K142" s="28">
        <v>5</v>
      </c>
      <c r="L142" s="28">
        <v>40</v>
      </c>
      <c r="M142" s="9"/>
    </row>
    <row r="143" spans="1:13" ht="40.9" customHeight="1">
      <c r="A143" s="13" t="s">
        <v>466</v>
      </c>
      <c r="B143" s="9" t="s">
        <v>154</v>
      </c>
      <c r="C143" s="9" t="s">
        <v>155</v>
      </c>
      <c r="D143" s="9" t="s">
        <v>467</v>
      </c>
      <c r="E143" s="9" t="s">
        <v>468</v>
      </c>
      <c r="F143" s="13" t="s">
        <v>158</v>
      </c>
      <c r="G143" s="13" t="s">
        <v>25</v>
      </c>
      <c r="H143" s="13" t="s">
        <v>26</v>
      </c>
      <c r="I143" s="28">
        <v>6</v>
      </c>
      <c r="J143" s="28">
        <v>48</v>
      </c>
      <c r="K143" s="28">
        <v>5</v>
      </c>
      <c r="L143" s="28">
        <v>40</v>
      </c>
      <c r="M143" s="9"/>
    </row>
    <row r="144" spans="1:13" ht="40.9" customHeight="1">
      <c r="A144" s="14" t="s">
        <v>469</v>
      </c>
      <c r="B144" s="10" t="s">
        <v>278</v>
      </c>
      <c r="C144" s="10" t="s">
        <v>279</v>
      </c>
      <c r="D144" s="10" t="s">
        <v>470</v>
      </c>
      <c r="E144" s="10" t="s">
        <v>471</v>
      </c>
      <c r="F144" s="14" t="s">
        <v>24</v>
      </c>
      <c r="G144" s="14" t="s">
        <v>25</v>
      </c>
      <c r="H144" s="14" t="s">
        <v>15</v>
      </c>
      <c r="I144" s="28">
        <v>4</v>
      </c>
      <c r="J144" s="28">
        <v>32</v>
      </c>
      <c r="K144" s="28">
        <v>2</v>
      </c>
      <c r="L144" s="28">
        <v>16</v>
      </c>
      <c r="M144" s="10"/>
    </row>
    <row r="145" spans="1:13" ht="51" customHeight="1">
      <c r="A145" s="14" t="s">
        <v>472</v>
      </c>
      <c r="B145" s="10" t="s">
        <v>278</v>
      </c>
      <c r="C145" s="10" t="s">
        <v>344</v>
      </c>
      <c r="D145" s="10" t="s">
        <v>473</v>
      </c>
      <c r="E145" s="10" t="s">
        <v>474</v>
      </c>
      <c r="F145" s="14" t="s">
        <v>24</v>
      </c>
      <c r="G145" s="14" t="s">
        <v>25</v>
      </c>
      <c r="H145" s="14" t="s">
        <v>26</v>
      </c>
      <c r="I145" s="28">
        <v>6</v>
      </c>
      <c r="J145" s="28">
        <v>48</v>
      </c>
      <c r="K145" s="28">
        <v>4</v>
      </c>
      <c r="L145" s="28">
        <v>32</v>
      </c>
      <c r="M145" s="10"/>
    </row>
    <row r="146" spans="1:13" ht="51" customHeight="1">
      <c r="A146" s="15" t="s">
        <v>475</v>
      </c>
      <c r="B146" s="11" t="s">
        <v>417</v>
      </c>
      <c r="C146" s="11" t="s">
        <v>418</v>
      </c>
      <c r="D146" s="11" t="s">
        <v>476</v>
      </c>
      <c r="E146" s="11" t="s">
        <v>477</v>
      </c>
      <c r="F146" s="15" t="s">
        <v>24</v>
      </c>
      <c r="G146" s="15" t="s">
        <v>25</v>
      </c>
      <c r="H146" s="15" t="s">
        <v>18</v>
      </c>
      <c r="I146" s="28">
        <v>20</v>
      </c>
      <c r="J146" s="28">
        <v>160</v>
      </c>
      <c r="K146" s="28">
        <v>16</v>
      </c>
      <c r="L146" s="28">
        <v>128</v>
      </c>
      <c r="M146" s="11"/>
    </row>
    <row r="147" spans="1:13" ht="40.9" customHeight="1">
      <c r="A147" s="15" t="s">
        <v>478</v>
      </c>
      <c r="B147" s="11" t="s">
        <v>417</v>
      </c>
      <c r="C147" s="11" t="s">
        <v>418</v>
      </c>
      <c r="D147" s="11" t="s">
        <v>479</v>
      </c>
      <c r="E147" s="11" t="s">
        <v>480</v>
      </c>
      <c r="F147" s="15" t="s">
        <v>24</v>
      </c>
      <c r="G147" s="15" t="s">
        <v>25</v>
      </c>
      <c r="H147" s="15" t="s">
        <v>26</v>
      </c>
      <c r="I147" s="28">
        <v>8</v>
      </c>
      <c r="J147" s="28">
        <v>64</v>
      </c>
      <c r="K147" s="28">
        <v>5</v>
      </c>
      <c r="L147" s="28">
        <v>40</v>
      </c>
      <c r="M147" s="11"/>
    </row>
    <row r="148" spans="1:13" ht="30.6" customHeight="1">
      <c r="A148" s="15" t="s">
        <v>481</v>
      </c>
      <c r="B148" s="11" t="s">
        <v>417</v>
      </c>
      <c r="C148" s="11" t="s">
        <v>418</v>
      </c>
      <c r="D148" s="11" t="s">
        <v>482</v>
      </c>
      <c r="E148" s="11" t="s">
        <v>483</v>
      </c>
      <c r="F148" s="15" t="s">
        <v>24</v>
      </c>
      <c r="G148" s="15" t="s">
        <v>25</v>
      </c>
      <c r="H148" s="15" t="s">
        <v>18</v>
      </c>
      <c r="I148" s="28">
        <v>12</v>
      </c>
      <c r="J148" s="28">
        <v>160</v>
      </c>
      <c r="K148" s="28">
        <v>10</v>
      </c>
      <c r="L148" s="28">
        <v>120</v>
      </c>
      <c r="M148" s="11"/>
    </row>
    <row r="149" spans="1:13" ht="40.9" customHeight="1">
      <c r="A149" s="15" t="s">
        <v>484</v>
      </c>
      <c r="B149" s="11" t="s">
        <v>417</v>
      </c>
      <c r="C149" s="11" t="s">
        <v>418</v>
      </c>
      <c r="D149" s="11" t="s">
        <v>485</v>
      </c>
      <c r="E149" s="11" t="s">
        <v>486</v>
      </c>
      <c r="F149" s="15" t="s">
        <v>24</v>
      </c>
      <c r="G149" s="15" t="s">
        <v>25</v>
      </c>
      <c r="H149" s="15" t="s">
        <v>26</v>
      </c>
      <c r="I149" s="28">
        <v>6</v>
      </c>
      <c r="J149" s="28">
        <v>48</v>
      </c>
      <c r="K149" s="28">
        <v>5</v>
      </c>
      <c r="L149" s="28">
        <v>40</v>
      </c>
      <c r="M149" s="11"/>
    </row>
    <row r="150" spans="1:13" ht="40.9" customHeight="1">
      <c r="A150" s="15" t="s">
        <v>487</v>
      </c>
      <c r="B150" s="11" t="s">
        <v>417</v>
      </c>
      <c r="C150" s="11" t="s">
        <v>418</v>
      </c>
      <c r="D150" s="11" t="s">
        <v>488</v>
      </c>
      <c r="E150" s="11" t="s">
        <v>489</v>
      </c>
      <c r="F150" s="15" t="s">
        <v>128</v>
      </c>
      <c r="G150" s="15" t="s">
        <v>132</v>
      </c>
      <c r="H150" s="15" t="s">
        <v>18</v>
      </c>
      <c r="I150" s="28">
        <v>15</v>
      </c>
      <c r="J150" s="28">
        <v>120</v>
      </c>
      <c r="K150" s="28">
        <v>11</v>
      </c>
      <c r="L150" s="28">
        <v>88</v>
      </c>
      <c r="M150" s="11"/>
    </row>
    <row r="151" spans="1:13" ht="30.6" customHeight="1">
      <c r="A151" s="15" t="s">
        <v>490</v>
      </c>
      <c r="B151" s="11" t="s">
        <v>417</v>
      </c>
      <c r="C151" s="11" t="s">
        <v>418</v>
      </c>
      <c r="D151" s="11" t="s">
        <v>491</v>
      </c>
      <c r="E151" s="11" t="s">
        <v>492</v>
      </c>
      <c r="F151" s="15" t="s">
        <v>128</v>
      </c>
      <c r="G151" s="15" t="s">
        <v>25</v>
      </c>
      <c r="H151" s="15" t="s">
        <v>26</v>
      </c>
      <c r="I151" s="28">
        <v>5</v>
      </c>
      <c r="J151" s="28">
        <v>40</v>
      </c>
      <c r="K151" s="28">
        <v>5</v>
      </c>
      <c r="L151" s="28">
        <v>40</v>
      </c>
      <c r="M151" s="11"/>
    </row>
    <row r="152" spans="1:13">
      <c r="J152" s="17">
        <f>SUM(J2:J151)</f>
        <v>9872</v>
      </c>
      <c r="K152" s="17">
        <f t="shared" ref="K152:L152" si="0">SUM(K2:K151)</f>
        <v>793</v>
      </c>
      <c r="L152" s="17">
        <f t="shared" si="0"/>
        <v>6560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M7"/>
  <sheetViews>
    <sheetView workbookViewId="0"/>
  </sheetViews>
  <sheetFormatPr defaultColWidth="8.7109375" defaultRowHeight="15"/>
  <cols>
    <col min="1" max="1" width="24" customWidth="1"/>
    <col min="2" max="4" width="9" customWidth="1"/>
    <col min="5" max="5" width="7" customWidth="1"/>
    <col min="6" max="6" width="8" customWidth="1"/>
    <col min="7" max="7" width="7" customWidth="1"/>
    <col min="8" max="10" width="8" customWidth="1"/>
    <col min="11" max="11" width="7" customWidth="1"/>
    <col min="12" max="12" width="8" customWidth="1"/>
    <col min="13" max="13" width="7" customWidth="1"/>
  </cols>
  <sheetData>
    <row r="1" spans="1:13" ht="22.15" customHeight="1">
      <c r="A1" s="2" t="s">
        <v>1</v>
      </c>
      <c r="B1" s="2" t="s">
        <v>493</v>
      </c>
      <c r="C1" s="2" t="s">
        <v>494</v>
      </c>
      <c r="D1" s="2" t="s">
        <v>495</v>
      </c>
      <c r="E1" s="2" t="s">
        <v>25</v>
      </c>
      <c r="F1" s="2" t="s">
        <v>46</v>
      </c>
      <c r="G1" s="2" t="s">
        <v>132</v>
      </c>
      <c r="H1" s="2" t="s">
        <v>496</v>
      </c>
      <c r="I1" s="2" t="s">
        <v>497</v>
      </c>
      <c r="J1" s="2" t="s">
        <v>498</v>
      </c>
      <c r="K1" s="2" t="s">
        <v>499</v>
      </c>
      <c r="L1" s="2" t="s">
        <v>500</v>
      </c>
      <c r="M1" s="2" t="s">
        <v>501</v>
      </c>
    </row>
    <row r="2" spans="1:13" ht="25.5">
      <c r="A2" s="30" t="s">
        <v>20</v>
      </c>
      <c r="B2" s="31">
        <f>COUNTIF('Feature Inventory'!B:B,A2)</f>
        <v>40</v>
      </c>
      <c r="C2" s="32" t="s">
        <v>502</v>
      </c>
      <c r="D2" s="31">
        <v>5</v>
      </c>
      <c r="E2" s="31">
        <f>COUNTIFS('Feature Inventory'!B:B,A2,'Feature Inventory'!G:G,"Must")</f>
        <v>32</v>
      </c>
      <c r="F2" s="31">
        <f>COUNTIFS('Feature Inventory'!B:B,A2,'Feature Inventory'!G:G,"Should")</f>
        <v>6</v>
      </c>
      <c r="G2" s="31">
        <f>COUNTIFS('Feature Inventory'!B:B,A2,'Feature Inventory'!G:G,"Could")</f>
        <v>2</v>
      </c>
      <c r="H2" s="31">
        <f>COUNTIFS('Feature Inventory'!B:B,A2,'Feature Inventory'!F:F,"1")</f>
        <v>39</v>
      </c>
      <c r="I2" s="31">
        <f>COUNTIFS('Feature Inventory'!B:B,A2,'Feature Inventory'!F:F,"2")</f>
        <v>0</v>
      </c>
      <c r="J2" s="31">
        <f>COUNTIFS('Feature Inventory'!B:B,A2,'Feature Inventory'!F:F,"3")</f>
        <v>1</v>
      </c>
      <c r="K2" s="31">
        <f>COUNTIFS('Feature Inventory'!B:B,A2,'Feature Inventory'!H:H,"S")</f>
        <v>6</v>
      </c>
      <c r="L2" s="31">
        <f>COUNTIFS('Feature Inventory'!B:B,A2,'Feature Inventory'!H:H,"M")</f>
        <v>22</v>
      </c>
      <c r="M2" s="31">
        <f>COUNTIFS('Feature Inventory'!B:B,A2,'Feature Inventory'!H:H,"L")</f>
        <v>12</v>
      </c>
    </row>
    <row r="3" spans="1:13" ht="25.5">
      <c r="A3" s="33" t="s">
        <v>140</v>
      </c>
      <c r="B3" s="34">
        <f>COUNTIF('Feature Inventory'!B:B,A3)</f>
        <v>4</v>
      </c>
      <c r="C3" s="35" t="s">
        <v>502</v>
      </c>
      <c r="D3" s="34">
        <v>4</v>
      </c>
      <c r="E3" s="34">
        <f>COUNTIFS('Feature Inventory'!B:B,A3,'Feature Inventory'!G:G,"Must")</f>
        <v>4</v>
      </c>
      <c r="F3" s="34">
        <f>COUNTIFS('Feature Inventory'!B:B,A3,'Feature Inventory'!G:G,"Should")</f>
        <v>0</v>
      </c>
      <c r="G3" s="34">
        <f>COUNTIFS('Feature Inventory'!B:B,A3,'Feature Inventory'!G:G,"Could")</f>
        <v>0</v>
      </c>
      <c r="H3" s="34">
        <f>COUNTIFS('Feature Inventory'!B:B,A3,'Feature Inventory'!F:F,"1")</f>
        <v>4</v>
      </c>
      <c r="I3" s="34">
        <f>COUNTIFS('Feature Inventory'!B:B,A3,'Feature Inventory'!F:F,"2")</f>
        <v>0</v>
      </c>
      <c r="J3" s="34">
        <f>COUNTIFS('Feature Inventory'!B:B,A3,'Feature Inventory'!F:F,"3")</f>
        <v>0</v>
      </c>
      <c r="K3" s="34">
        <f>COUNTIFS('Feature Inventory'!B:B,A3,'Feature Inventory'!H:H,"S")</f>
        <v>0</v>
      </c>
      <c r="L3" s="34">
        <f>COUNTIFS('Feature Inventory'!B:B,A3,'Feature Inventory'!H:H,"M")</f>
        <v>2</v>
      </c>
      <c r="M3" s="34">
        <f>COUNTIFS('Feature Inventory'!B:B,A3,'Feature Inventory'!H:H,"L")</f>
        <v>2</v>
      </c>
    </row>
    <row r="4" spans="1:13" ht="25.5">
      <c r="A4" s="36" t="s">
        <v>154</v>
      </c>
      <c r="B4" s="37">
        <f>COUNTIF('Feature Inventory'!B:B,A4)</f>
        <v>41</v>
      </c>
      <c r="C4" s="38" t="s">
        <v>502</v>
      </c>
      <c r="D4" s="37">
        <v>0</v>
      </c>
      <c r="E4" s="37">
        <f>COUNTIFS('Feature Inventory'!B:B,A4,'Feature Inventory'!G:G,"Must")</f>
        <v>28</v>
      </c>
      <c r="F4" s="37">
        <f>COUNTIFS('Feature Inventory'!B:B,A4,'Feature Inventory'!G:G,"Should")</f>
        <v>11</v>
      </c>
      <c r="G4" s="37">
        <f>COUNTIFS('Feature Inventory'!B:B,A4,'Feature Inventory'!G:G,"Could")</f>
        <v>2</v>
      </c>
      <c r="H4" s="37">
        <f>COUNTIFS('Feature Inventory'!B:B,A4,'Feature Inventory'!F:F,"1")</f>
        <v>0</v>
      </c>
      <c r="I4" s="37">
        <f>COUNTIFS('Feature Inventory'!B:B,A4,'Feature Inventory'!F:F,"2")</f>
        <v>39</v>
      </c>
      <c r="J4" s="37">
        <f>COUNTIFS('Feature Inventory'!B:B,A4,'Feature Inventory'!F:F,"3")</f>
        <v>2</v>
      </c>
      <c r="K4" s="37">
        <f>COUNTIFS('Feature Inventory'!B:B,A4,'Feature Inventory'!H:H,"S")</f>
        <v>6</v>
      </c>
      <c r="L4" s="37">
        <f>COUNTIFS('Feature Inventory'!B:B,A4,'Feature Inventory'!H:H,"M")</f>
        <v>26</v>
      </c>
      <c r="M4" s="37">
        <f>COUNTIFS('Feature Inventory'!B:B,A4,'Feature Inventory'!H:H,"L")</f>
        <v>9</v>
      </c>
    </row>
    <row r="5" spans="1:13" ht="25.5">
      <c r="A5" s="39" t="s">
        <v>278</v>
      </c>
      <c r="B5" s="40">
        <f>COUNTIF('Feature Inventory'!B:B,A5)</f>
        <v>46</v>
      </c>
      <c r="C5" s="41" t="s">
        <v>502</v>
      </c>
      <c r="D5" s="40">
        <v>0</v>
      </c>
      <c r="E5" s="40">
        <f>COUNTIFS('Feature Inventory'!B:B,A5,'Feature Inventory'!G:G,"Must")</f>
        <v>33</v>
      </c>
      <c r="F5" s="40">
        <f>COUNTIFS('Feature Inventory'!B:B,A5,'Feature Inventory'!G:G,"Should")</f>
        <v>10</v>
      </c>
      <c r="G5" s="40">
        <f>COUNTIFS('Feature Inventory'!B:B,A5,'Feature Inventory'!G:G,"Could")</f>
        <v>3</v>
      </c>
      <c r="H5" s="40">
        <f>COUNTIFS('Feature Inventory'!B:B,A5,'Feature Inventory'!F:F,"1")</f>
        <v>42</v>
      </c>
      <c r="I5" s="40">
        <f>COUNTIFS('Feature Inventory'!B:B,A5,'Feature Inventory'!F:F,"2")</f>
        <v>0</v>
      </c>
      <c r="J5" s="40">
        <f>COUNTIFS('Feature Inventory'!B:B,A5,'Feature Inventory'!F:F,"3")</f>
        <v>4</v>
      </c>
      <c r="K5" s="40">
        <f>COUNTIFS('Feature Inventory'!B:B,A5,'Feature Inventory'!H:H,"S")</f>
        <v>7</v>
      </c>
      <c r="L5" s="40">
        <f>COUNTIFS('Feature Inventory'!B:B,A5,'Feature Inventory'!H:H,"M")</f>
        <v>23</v>
      </c>
      <c r="M5" s="40">
        <f>COUNTIFS('Feature Inventory'!B:B,A5,'Feature Inventory'!H:H,"L")</f>
        <v>16</v>
      </c>
    </row>
    <row r="6" spans="1:13" ht="25.5">
      <c r="A6" s="42" t="s">
        <v>417</v>
      </c>
      <c r="B6" s="43">
        <f>COUNTIF('Feature Inventory'!B:B,A6)</f>
        <v>17</v>
      </c>
      <c r="C6" s="44" t="s">
        <v>502</v>
      </c>
      <c r="D6" s="43">
        <v>0</v>
      </c>
      <c r="E6" s="43">
        <f>COUNTIFS('Feature Inventory'!B:B,A6,'Feature Inventory'!G:G,"Must")</f>
        <v>16</v>
      </c>
      <c r="F6" s="43">
        <f>COUNTIFS('Feature Inventory'!B:B,A6,'Feature Inventory'!G:G,"Should")</f>
        <v>0</v>
      </c>
      <c r="G6" s="43">
        <f>COUNTIFS('Feature Inventory'!B:B,A6,'Feature Inventory'!G:G,"Could")</f>
        <v>1</v>
      </c>
      <c r="H6" s="43">
        <f>COUNTIFS('Feature Inventory'!B:B,A6,'Feature Inventory'!F:F,"1")</f>
        <v>15</v>
      </c>
      <c r="I6" s="43">
        <f>COUNTIFS('Feature Inventory'!B:B,A6,'Feature Inventory'!F:F,"2")</f>
        <v>0</v>
      </c>
      <c r="J6" s="43">
        <f>COUNTIFS('Feature Inventory'!B:B,A6,'Feature Inventory'!F:F,"3")</f>
        <v>2</v>
      </c>
      <c r="K6" s="43">
        <f>COUNTIFS('Feature Inventory'!B:B,A6,'Feature Inventory'!H:H,"S")</f>
        <v>1</v>
      </c>
      <c r="L6" s="43">
        <f>COUNTIFS('Feature Inventory'!B:B,A6,'Feature Inventory'!H:H,"M")</f>
        <v>8</v>
      </c>
      <c r="M6" s="43">
        <f>COUNTIFS('Feature Inventory'!B:B,A6,'Feature Inventory'!H:H,"L")</f>
        <v>8</v>
      </c>
    </row>
    <row r="7" spans="1:13">
      <c r="A7" s="3" t="s">
        <v>503</v>
      </c>
      <c r="B7" s="4">
        <f t="shared" ref="B7:M7" si="0">SUM(B2:B6)</f>
        <v>148</v>
      </c>
      <c r="C7" s="27">
        <f t="shared" si="0"/>
        <v>0</v>
      </c>
      <c r="D7" s="4">
        <f t="shared" si="0"/>
        <v>9</v>
      </c>
      <c r="E7" s="4">
        <f t="shared" si="0"/>
        <v>113</v>
      </c>
      <c r="F7" s="4">
        <f t="shared" si="0"/>
        <v>27</v>
      </c>
      <c r="G7" s="4">
        <f t="shared" si="0"/>
        <v>8</v>
      </c>
      <c r="H7" s="4">
        <f t="shared" si="0"/>
        <v>100</v>
      </c>
      <c r="I7" s="4">
        <f t="shared" si="0"/>
        <v>39</v>
      </c>
      <c r="J7" s="4">
        <f t="shared" si="0"/>
        <v>9</v>
      </c>
      <c r="K7" s="4">
        <f t="shared" si="0"/>
        <v>20</v>
      </c>
      <c r="L7" s="4">
        <f t="shared" si="0"/>
        <v>81</v>
      </c>
      <c r="M7" s="4">
        <f t="shared" si="0"/>
        <v>47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B16"/>
  <sheetViews>
    <sheetView workbookViewId="0"/>
  </sheetViews>
  <sheetFormatPr defaultColWidth="8.7109375" defaultRowHeight="15"/>
  <cols>
    <col min="1" max="1" width="22" customWidth="1"/>
    <col min="2" max="2" width="95" customWidth="1"/>
  </cols>
  <sheetData>
    <row r="1" spans="1:2">
      <c r="A1" s="5" t="s">
        <v>504</v>
      </c>
      <c r="B1" s="5" t="s">
        <v>505</v>
      </c>
    </row>
    <row r="2" spans="1:2">
      <c r="A2" s="6" t="s">
        <v>0</v>
      </c>
      <c r="B2" s="6" t="s">
        <v>506</v>
      </c>
    </row>
    <row r="3" spans="1:2">
      <c r="A3" s="6" t="s">
        <v>1</v>
      </c>
      <c r="B3" s="6" t="s">
        <v>507</v>
      </c>
    </row>
    <row r="4" spans="1:2">
      <c r="A4" s="6" t="s">
        <v>2</v>
      </c>
      <c r="B4" s="6" t="s">
        <v>508</v>
      </c>
    </row>
    <row r="5" spans="1:2">
      <c r="A5" s="6" t="s">
        <v>3</v>
      </c>
      <c r="B5" s="6" t="s">
        <v>509</v>
      </c>
    </row>
    <row r="6" spans="1:2">
      <c r="A6" s="6" t="s">
        <v>4</v>
      </c>
      <c r="B6" s="6" t="s">
        <v>510</v>
      </c>
    </row>
    <row r="7" spans="1:2" ht="20.45" customHeight="1">
      <c r="A7" s="6" t="s">
        <v>511</v>
      </c>
      <c r="B7" s="6" t="s">
        <v>512</v>
      </c>
    </row>
    <row r="8" spans="1:2">
      <c r="A8" s="6" t="s">
        <v>513</v>
      </c>
      <c r="B8" s="6" t="s">
        <v>514</v>
      </c>
    </row>
    <row r="9" spans="1:2" ht="20.45" customHeight="1">
      <c r="A9" s="6" t="s">
        <v>515</v>
      </c>
      <c r="B9" s="6" t="s">
        <v>516</v>
      </c>
    </row>
    <row r="10" spans="1:2">
      <c r="A10" s="6" t="s">
        <v>5</v>
      </c>
      <c r="B10" s="6" t="s">
        <v>517</v>
      </c>
    </row>
    <row r="11" spans="1:2" ht="20.45" customHeight="1">
      <c r="A11" s="6" t="s">
        <v>6</v>
      </c>
      <c r="B11" s="6" t="s">
        <v>518</v>
      </c>
    </row>
    <row r="12" spans="1:2" ht="30.6" customHeight="1">
      <c r="A12" s="6" t="s">
        <v>7</v>
      </c>
      <c r="B12" s="6" t="s">
        <v>519</v>
      </c>
    </row>
    <row r="14" spans="1:2" ht="19.149999999999999" customHeight="1">
      <c r="A14" s="45" t="s">
        <v>8</v>
      </c>
      <c r="B14" s="49"/>
    </row>
    <row r="15" spans="1:2" ht="20.45" customHeight="1">
      <c r="A15" s="16" t="s">
        <v>520</v>
      </c>
      <c r="B15" s="16" t="s">
        <v>521</v>
      </c>
    </row>
    <row r="16" spans="1:2" ht="112.15" customHeight="1">
      <c r="A16" s="1" t="s">
        <v>522</v>
      </c>
    </row>
  </sheetData>
  <mergeCells count="1">
    <mergeCell ref="A14:B14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N44"/>
  <sheetViews>
    <sheetView workbookViewId="0">
      <selection activeCell="B10" sqref="B10"/>
    </sheetView>
  </sheetViews>
  <sheetFormatPr defaultRowHeight="15"/>
  <cols>
    <col min="1" max="1" width="42.7109375" customWidth="1"/>
    <col min="2" max="2" width="16" customWidth="1"/>
    <col min="3" max="3" width="30" customWidth="1"/>
    <col min="4" max="4" width="38" customWidth="1"/>
    <col min="5" max="5" width="16" customWidth="1"/>
    <col min="6" max="6" width="27" customWidth="1"/>
    <col min="7" max="7" width="10" customWidth="1"/>
    <col min="8" max="8" width="14" customWidth="1"/>
    <col min="9" max="10" width="17" customWidth="1"/>
    <col min="11" max="14" width="3" customWidth="1"/>
  </cols>
  <sheetData>
    <row r="1" spans="1:14" ht="25.7" customHeight="1">
      <c r="A1" s="46" t="s">
        <v>523</v>
      </c>
      <c r="B1" s="46"/>
      <c r="C1" s="46"/>
      <c r="D1" s="46"/>
      <c r="E1" s="46"/>
      <c r="F1" s="46"/>
      <c r="G1" s="46"/>
      <c r="H1" s="46"/>
      <c r="I1" s="46"/>
      <c r="J1" s="46"/>
      <c r="K1" s="46"/>
      <c r="L1" s="46"/>
      <c r="M1" s="46"/>
      <c r="N1" s="46"/>
    </row>
    <row r="2" spans="1:14" ht="22.35" customHeight="1">
      <c r="A2" s="47" t="s">
        <v>524</v>
      </c>
      <c r="B2" s="47"/>
      <c r="C2" s="47"/>
      <c r="D2" s="47"/>
      <c r="E2" s="47"/>
      <c r="F2" s="47"/>
      <c r="G2" s="47"/>
      <c r="H2" s="47"/>
      <c r="I2" s="47"/>
      <c r="J2" s="47"/>
      <c r="K2" s="47"/>
      <c r="L2" s="47"/>
      <c r="M2" s="47"/>
      <c r="N2" s="47"/>
    </row>
    <row r="4" spans="1:14">
      <c r="A4" s="18" t="s">
        <v>525</v>
      </c>
      <c r="B4" s="18" t="s">
        <v>526</v>
      </c>
      <c r="C4" s="18" t="s">
        <v>527</v>
      </c>
      <c r="D4" s="18" t="s">
        <v>528</v>
      </c>
    </row>
    <row r="5" spans="1:14" ht="30">
      <c r="A5" t="s">
        <v>529</v>
      </c>
      <c r="B5">
        <v>150</v>
      </c>
      <c r="C5" s="23" t="s">
        <v>530</v>
      </c>
      <c r="D5" s="23" t="s">
        <v>531</v>
      </c>
    </row>
    <row r="6" spans="1:14">
      <c r="A6" t="s">
        <v>532</v>
      </c>
      <c r="B6" s="24">
        <v>1234</v>
      </c>
      <c r="C6" s="23" t="s">
        <v>533</v>
      </c>
      <c r="D6" s="23" t="s">
        <v>534</v>
      </c>
    </row>
    <row r="7" spans="1:14">
      <c r="A7" t="s">
        <v>535</v>
      </c>
      <c r="B7" s="24">
        <v>820</v>
      </c>
      <c r="C7" s="23" t="s">
        <v>536</v>
      </c>
      <c r="D7" s="23" t="s">
        <v>537</v>
      </c>
    </row>
    <row r="8" spans="1:14">
      <c r="A8" t="s">
        <v>538</v>
      </c>
      <c r="B8" s="25">
        <v>0.3354943273905997</v>
      </c>
      <c r="C8" s="23" t="s">
        <v>539</v>
      </c>
      <c r="D8" s="23" t="s">
        <v>540</v>
      </c>
    </row>
    <row r="9" spans="1:14" ht="30">
      <c r="A9" t="s">
        <v>541</v>
      </c>
      <c r="B9" s="24">
        <v>1965</v>
      </c>
      <c r="C9" s="23" t="s">
        <v>542</v>
      </c>
      <c r="D9" s="23" t="s">
        <v>543</v>
      </c>
    </row>
    <row r="10" spans="1:14" ht="30">
      <c r="A10" t="s">
        <v>544</v>
      </c>
      <c r="B10" s="24">
        <v>1598</v>
      </c>
      <c r="C10" s="23" t="s">
        <v>545</v>
      </c>
      <c r="D10" s="23" t="s">
        <v>546</v>
      </c>
    </row>
    <row r="11" spans="1:14" ht="30">
      <c r="A11" t="s">
        <v>547</v>
      </c>
      <c r="B11">
        <v>63</v>
      </c>
      <c r="C11" s="23" t="s">
        <v>548</v>
      </c>
      <c r="D11" s="23" t="s">
        <v>549</v>
      </c>
    </row>
    <row r="12" spans="1:14" ht="30">
      <c r="A12" t="s">
        <v>550</v>
      </c>
      <c r="B12">
        <v>2</v>
      </c>
      <c r="C12" s="23" t="s">
        <v>551</v>
      </c>
      <c r="D12" s="23" t="s">
        <v>552</v>
      </c>
    </row>
    <row r="15" spans="1:14" ht="30">
      <c r="A15" s="18" t="s">
        <v>1</v>
      </c>
      <c r="B15" s="18" t="s">
        <v>553</v>
      </c>
      <c r="C15" s="18" t="s">
        <v>554</v>
      </c>
      <c r="D15" s="18" t="s">
        <v>555</v>
      </c>
      <c r="E15" s="18" t="s">
        <v>556</v>
      </c>
    </row>
    <row r="16" spans="1:14">
      <c r="A16" t="s">
        <v>20</v>
      </c>
      <c r="B16" s="24">
        <v>340</v>
      </c>
      <c r="C16" s="24">
        <v>213</v>
      </c>
      <c r="D16" s="24">
        <v>565</v>
      </c>
      <c r="E16" s="24">
        <v>446</v>
      </c>
    </row>
    <row r="17" spans="1:5">
      <c r="A17" t="s">
        <v>140</v>
      </c>
      <c r="B17" s="24">
        <v>34</v>
      </c>
      <c r="C17" s="24">
        <v>23</v>
      </c>
      <c r="D17" s="24">
        <v>41</v>
      </c>
      <c r="E17" s="24">
        <v>31</v>
      </c>
    </row>
    <row r="18" spans="1:5">
      <c r="A18" t="s">
        <v>154</v>
      </c>
      <c r="B18" s="24">
        <v>294</v>
      </c>
      <c r="C18" s="24">
        <v>197</v>
      </c>
      <c r="D18" s="24">
        <v>455</v>
      </c>
      <c r="E18" s="24">
        <v>368</v>
      </c>
    </row>
    <row r="19" spans="1:5">
      <c r="A19" t="s">
        <v>278</v>
      </c>
      <c r="B19" s="24">
        <v>301</v>
      </c>
      <c r="C19" s="24">
        <v>185</v>
      </c>
      <c r="D19" s="24">
        <v>410</v>
      </c>
      <c r="E19" s="24">
        <v>323</v>
      </c>
    </row>
    <row r="20" spans="1:5">
      <c r="A20" t="s">
        <v>417</v>
      </c>
      <c r="B20" s="24">
        <v>235</v>
      </c>
      <c r="C20" s="24">
        <v>180</v>
      </c>
      <c r="D20" s="24">
        <v>494</v>
      </c>
      <c r="E20" s="24">
        <v>430</v>
      </c>
    </row>
    <row r="21" spans="1:5">
      <c r="A21" t="s">
        <v>557</v>
      </c>
      <c r="B21" s="24">
        <v>30</v>
      </c>
      <c r="C21" s="24">
        <v>22</v>
      </c>
      <c r="D21" s="24">
        <v>0</v>
      </c>
      <c r="E21" s="24">
        <v>0</v>
      </c>
    </row>
    <row r="24" spans="1:5">
      <c r="A24" s="18" t="s">
        <v>558</v>
      </c>
      <c r="B24" s="18" t="s">
        <v>559</v>
      </c>
      <c r="C24" s="18" t="s">
        <v>553</v>
      </c>
      <c r="D24" s="18" t="s">
        <v>555</v>
      </c>
    </row>
    <row r="25" spans="1:5">
      <c r="A25" t="s">
        <v>560</v>
      </c>
      <c r="B25">
        <v>35</v>
      </c>
      <c r="C25" s="24">
        <v>394</v>
      </c>
      <c r="D25" s="24">
        <v>759</v>
      </c>
    </row>
    <row r="26" spans="1:5">
      <c r="A26" t="s">
        <v>561</v>
      </c>
      <c r="B26">
        <v>86</v>
      </c>
      <c r="C26" s="24">
        <v>499</v>
      </c>
      <c r="D26" s="24">
        <v>633</v>
      </c>
    </row>
    <row r="27" spans="1:5">
      <c r="A27" t="s">
        <v>562</v>
      </c>
      <c r="B27">
        <v>9</v>
      </c>
      <c r="C27" s="24">
        <v>62</v>
      </c>
      <c r="D27" s="24">
        <v>74</v>
      </c>
    </row>
    <row r="28" spans="1:5">
      <c r="A28" t="s">
        <v>563</v>
      </c>
      <c r="B28">
        <v>17</v>
      </c>
      <c r="C28" s="24">
        <v>235</v>
      </c>
      <c r="D28" s="24">
        <v>494</v>
      </c>
    </row>
    <row r="29" spans="1:5">
      <c r="A29" t="s">
        <v>564</v>
      </c>
      <c r="B29">
        <v>1</v>
      </c>
      <c r="C29" s="24">
        <v>14</v>
      </c>
      <c r="D29" s="24">
        <v>5</v>
      </c>
    </row>
    <row r="30" spans="1:5">
      <c r="A30" t="s">
        <v>565</v>
      </c>
      <c r="B30">
        <v>2</v>
      </c>
      <c r="C30" s="24">
        <v>30</v>
      </c>
      <c r="D30" s="24">
        <v>0</v>
      </c>
    </row>
    <row r="33" spans="1:14" ht="30">
      <c r="A33" s="48" t="s">
        <v>566</v>
      </c>
      <c r="B33" s="48"/>
      <c r="C33" s="48"/>
      <c r="D33" s="48"/>
      <c r="E33" s="26"/>
      <c r="F33" s="18" t="s">
        <v>567</v>
      </c>
      <c r="G33" s="18" t="s">
        <v>568</v>
      </c>
      <c r="H33" s="18" t="s">
        <v>569</v>
      </c>
      <c r="I33" s="18" t="s">
        <v>570</v>
      </c>
      <c r="J33" s="18" t="s">
        <v>571</v>
      </c>
      <c r="K33" s="26"/>
      <c r="L33" s="26"/>
      <c r="M33" s="26"/>
      <c r="N33" s="26"/>
    </row>
    <row r="34" spans="1:14">
      <c r="A34" s="18" t="s">
        <v>572</v>
      </c>
      <c r="B34" s="18" t="s">
        <v>573</v>
      </c>
      <c r="C34" s="18" t="s">
        <v>574</v>
      </c>
      <c r="D34" s="18" t="s">
        <v>575</v>
      </c>
      <c r="F34" s="23" t="s">
        <v>576</v>
      </c>
      <c r="G34">
        <v>10</v>
      </c>
      <c r="H34" s="24">
        <v>249</v>
      </c>
      <c r="I34" s="24">
        <v>335</v>
      </c>
      <c r="J34" s="24">
        <v>271</v>
      </c>
    </row>
    <row r="35" spans="1:14" ht="60">
      <c r="A35" t="s">
        <v>24</v>
      </c>
      <c r="B35" s="23" t="s">
        <v>577</v>
      </c>
      <c r="C35" s="23" t="s">
        <v>578</v>
      </c>
      <c r="D35" s="23" t="s">
        <v>579</v>
      </c>
      <c r="F35" s="23" t="s">
        <v>580</v>
      </c>
      <c r="G35">
        <v>9</v>
      </c>
      <c r="H35" s="24">
        <v>118</v>
      </c>
      <c r="I35" s="24">
        <v>171</v>
      </c>
      <c r="J35" s="24">
        <v>137</v>
      </c>
    </row>
    <row r="36" spans="1:14" ht="60">
      <c r="A36" t="s">
        <v>158</v>
      </c>
      <c r="B36" s="23" t="s">
        <v>581</v>
      </c>
      <c r="C36" s="23" t="s">
        <v>582</v>
      </c>
      <c r="D36" s="23" t="s">
        <v>583</v>
      </c>
      <c r="F36" s="23" t="s">
        <v>584</v>
      </c>
      <c r="G36">
        <v>8</v>
      </c>
      <c r="H36" s="24">
        <v>141</v>
      </c>
      <c r="I36" s="24">
        <v>196</v>
      </c>
      <c r="J36" s="24">
        <v>171</v>
      </c>
    </row>
    <row r="37" spans="1:14" ht="60">
      <c r="A37" t="s">
        <v>128</v>
      </c>
      <c r="B37" s="23" t="s">
        <v>585</v>
      </c>
      <c r="C37" s="23" t="s">
        <v>586</v>
      </c>
      <c r="D37" s="23" t="s">
        <v>587</v>
      </c>
      <c r="F37" s="23" t="s">
        <v>588</v>
      </c>
      <c r="G37">
        <v>5</v>
      </c>
      <c r="H37" s="24">
        <v>41</v>
      </c>
      <c r="I37" s="24">
        <v>61</v>
      </c>
      <c r="J37" s="24">
        <v>45</v>
      </c>
    </row>
    <row r="38" spans="1:14" ht="45">
      <c r="A38" t="s">
        <v>589</v>
      </c>
      <c r="B38" s="23" t="s">
        <v>590</v>
      </c>
      <c r="C38" s="23" t="s">
        <v>591</v>
      </c>
      <c r="D38" s="23" t="s">
        <v>592</v>
      </c>
      <c r="F38" s="23" t="s">
        <v>593</v>
      </c>
      <c r="G38">
        <v>4</v>
      </c>
      <c r="H38" s="24">
        <v>31</v>
      </c>
      <c r="I38" s="24">
        <v>46</v>
      </c>
      <c r="J38" s="24">
        <v>37</v>
      </c>
    </row>
    <row r="39" spans="1:14" ht="45">
      <c r="A39" t="s">
        <v>594</v>
      </c>
      <c r="B39" s="23" t="s">
        <v>595</v>
      </c>
      <c r="C39" s="23" t="s">
        <v>596</v>
      </c>
      <c r="D39" s="23" t="s">
        <v>597</v>
      </c>
      <c r="F39" s="23" t="s">
        <v>598</v>
      </c>
      <c r="G39">
        <v>4</v>
      </c>
      <c r="H39" s="24">
        <v>31</v>
      </c>
      <c r="I39" s="24">
        <v>46</v>
      </c>
      <c r="J39" s="24">
        <v>35</v>
      </c>
    </row>
    <row r="40" spans="1:14" ht="45">
      <c r="A40" t="s">
        <v>599</v>
      </c>
      <c r="B40" s="23" t="s">
        <v>600</v>
      </c>
      <c r="C40" s="23" t="s">
        <v>601</v>
      </c>
      <c r="D40" s="23" t="s">
        <v>602</v>
      </c>
      <c r="F40" s="23" t="s">
        <v>603</v>
      </c>
      <c r="G40">
        <v>7</v>
      </c>
      <c r="H40" s="24">
        <v>139</v>
      </c>
      <c r="I40" s="24">
        <v>193</v>
      </c>
      <c r="J40" s="24">
        <v>166</v>
      </c>
    </row>
    <row r="41" spans="1:14" ht="45">
      <c r="A41" t="s">
        <v>604</v>
      </c>
      <c r="B41" s="23" t="s">
        <v>605</v>
      </c>
      <c r="C41" s="23" t="s">
        <v>606</v>
      </c>
      <c r="D41" s="23" t="s">
        <v>607</v>
      </c>
      <c r="F41" s="23" t="s">
        <v>608</v>
      </c>
      <c r="G41">
        <v>7</v>
      </c>
      <c r="H41" s="24">
        <v>182</v>
      </c>
      <c r="I41" s="24">
        <v>245</v>
      </c>
      <c r="J41" s="24">
        <v>211</v>
      </c>
    </row>
    <row r="42" spans="1:14" ht="90">
      <c r="A42" t="s">
        <v>609</v>
      </c>
      <c r="B42" s="23" t="s">
        <v>610</v>
      </c>
      <c r="C42" s="23" t="s">
        <v>611</v>
      </c>
      <c r="D42" s="23" t="s">
        <v>612</v>
      </c>
      <c r="F42" s="23" t="s">
        <v>613</v>
      </c>
      <c r="G42">
        <v>4</v>
      </c>
      <c r="H42" s="24">
        <v>71</v>
      </c>
      <c r="I42" s="24">
        <v>100</v>
      </c>
      <c r="J42" s="24">
        <v>88</v>
      </c>
    </row>
    <row r="43" spans="1:14" ht="45">
      <c r="A43" t="s">
        <v>614</v>
      </c>
      <c r="B43" s="23" t="s">
        <v>615</v>
      </c>
      <c r="C43" s="23" t="s">
        <v>616</v>
      </c>
      <c r="D43" s="23" t="s">
        <v>617</v>
      </c>
      <c r="F43" s="23" t="s">
        <v>618</v>
      </c>
      <c r="G43">
        <v>5</v>
      </c>
      <c r="H43" s="24">
        <v>78</v>
      </c>
      <c r="I43" s="24">
        <v>110</v>
      </c>
      <c r="J43" s="24">
        <v>101</v>
      </c>
    </row>
    <row r="44" spans="1:14" ht="60">
      <c r="A44" t="s">
        <v>619</v>
      </c>
      <c r="B44" s="23" t="s">
        <v>620</v>
      </c>
      <c r="C44" s="23" t="s">
        <v>621</v>
      </c>
      <c r="D44" s="23" t="s">
        <v>622</v>
      </c>
    </row>
  </sheetData>
  <mergeCells count="3">
    <mergeCell ref="A1:N1"/>
    <mergeCell ref="A2:N2"/>
    <mergeCell ref="A33:D33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R151"/>
  <sheetViews>
    <sheetView topLeftCell="A140" workbookViewId="0">
      <selection activeCell="A151" sqref="A151"/>
    </sheetView>
  </sheetViews>
  <sheetFormatPr defaultRowHeight="15"/>
  <cols>
    <col min="1" max="1" width="9" customWidth="1"/>
    <col min="2" max="2" width="12" customWidth="1"/>
    <col min="3" max="3" width="25" customWidth="1"/>
    <col min="4" max="4" width="24" customWidth="1"/>
    <col min="5" max="5" width="42" customWidth="1"/>
    <col min="6" max="6" width="8" customWidth="1"/>
    <col min="7" max="7" width="12" customWidth="1"/>
    <col min="8" max="8" width="11" customWidth="1"/>
    <col min="9" max="10" width="15" customWidth="1"/>
    <col min="11" max="11" width="24" customWidth="1"/>
    <col min="12" max="12" width="27" customWidth="1"/>
    <col min="13" max="13" width="14" customWidth="1"/>
    <col min="14" max="14" width="16" customWidth="1"/>
    <col min="15" max="15" width="14" customWidth="1"/>
    <col min="16" max="16" width="16" customWidth="1"/>
    <col min="17" max="17" width="11" customWidth="1"/>
    <col min="18" max="18" width="48" customWidth="1"/>
  </cols>
  <sheetData>
    <row r="1" spans="1:18" ht="75" customHeight="1">
      <c r="A1" s="18" t="s">
        <v>623</v>
      </c>
      <c r="B1" s="18" t="s">
        <v>0</v>
      </c>
      <c r="C1" s="18" t="s">
        <v>1</v>
      </c>
      <c r="D1" s="18" t="s">
        <v>2</v>
      </c>
      <c r="E1" s="18" t="s">
        <v>3</v>
      </c>
      <c r="F1" s="18" t="s">
        <v>5</v>
      </c>
      <c r="G1" s="18" t="s">
        <v>624</v>
      </c>
      <c r="H1" s="18" t="s">
        <v>625</v>
      </c>
      <c r="I1" s="18" t="s">
        <v>626</v>
      </c>
      <c r="J1" s="18" t="s">
        <v>627</v>
      </c>
      <c r="K1" s="18" t="s">
        <v>628</v>
      </c>
      <c r="L1" s="18" t="s">
        <v>558</v>
      </c>
      <c r="M1" s="18" t="s">
        <v>629</v>
      </c>
      <c r="N1" s="18" t="s">
        <v>630</v>
      </c>
      <c r="O1" s="18" t="s">
        <v>631</v>
      </c>
      <c r="P1" s="18" t="s">
        <v>632</v>
      </c>
      <c r="Q1" s="18" t="s">
        <v>633</v>
      </c>
      <c r="R1" s="18" t="s">
        <v>634</v>
      </c>
    </row>
    <row r="2" spans="1:18" ht="45">
      <c r="A2" s="19">
        <v>2</v>
      </c>
      <c r="B2" s="19" t="s">
        <v>635</v>
      </c>
      <c r="C2" s="20" t="s">
        <v>557</v>
      </c>
      <c r="D2" s="20" t="s">
        <v>557</v>
      </c>
      <c r="E2" s="20" t="s">
        <v>13</v>
      </c>
      <c r="F2" s="19">
        <v>1</v>
      </c>
      <c r="G2" s="19"/>
      <c r="H2" s="19" t="s">
        <v>15</v>
      </c>
      <c r="I2" s="21">
        <f>'Feature Inventory'!J2/8</f>
        <v>10</v>
      </c>
      <c r="J2" s="21">
        <f>'Feature Inventory'!L2/8</f>
        <v>7</v>
      </c>
      <c r="K2" s="22" t="s">
        <v>636</v>
      </c>
      <c r="L2" s="22" t="s">
        <v>565</v>
      </c>
      <c r="M2" s="22">
        <v>0</v>
      </c>
      <c r="N2" s="22">
        <v>0</v>
      </c>
      <c r="O2" s="22">
        <v>0</v>
      </c>
      <c r="P2" s="22">
        <v>0</v>
      </c>
      <c r="Q2" s="20" t="s">
        <v>637</v>
      </c>
      <c r="R2" s="20" t="s">
        <v>638</v>
      </c>
    </row>
    <row r="3" spans="1:18" ht="45">
      <c r="A3" s="19">
        <v>3</v>
      </c>
      <c r="B3" s="19" t="s">
        <v>635</v>
      </c>
      <c r="C3" s="20" t="s">
        <v>557</v>
      </c>
      <c r="D3" s="20" t="s">
        <v>557</v>
      </c>
      <c r="E3" s="20" t="s">
        <v>16</v>
      </c>
      <c r="F3" s="19">
        <v>1</v>
      </c>
      <c r="G3" s="19"/>
      <c r="H3" s="19" t="s">
        <v>18</v>
      </c>
      <c r="I3" s="21">
        <f>'Feature Inventory'!J3/8</f>
        <v>20</v>
      </c>
      <c r="J3" s="21">
        <f>'Feature Inventory'!L3/8</f>
        <v>15</v>
      </c>
      <c r="K3" s="22" t="s">
        <v>636</v>
      </c>
      <c r="L3" s="22" t="s">
        <v>565</v>
      </c>
      <c r="M3" s="22">
        <v>0</v>
      </c>
      <c r="N3" s="22">
        <v>0</v>
      </c>
      <c r="O3" s="22">
        <v>0</v>
      </c>
      <c r="P3" s="22">
        <v>0</v>
      </c>
      <c r="Q3" s="20" t="s">
        <v>637</v>
      </c>
      <c r="R3" s="20" t="s">
        <v>638</v>
      </c>
    </row>
    <row r="4" spans="1:18" ht="45">
      <c r="A4" s="19">
        <v>4</v>
      </c>
      <c r="B4" s="19" t="s">
        <v>19</v>
      </c>
      <c r="C4" s="20" t="s">
        <v>20</v>
      </c>
      <c r="D4" s="20" t="s">
        <v>21</v>
      </c>
      <c r="E4" s="20" t="s">
        <v>22</v>
      </c>
      <c r="F4" s="19" t="s">
        <v>24</v>
      </c>
      <c r="G4" s="19" t="s">
        <v>25</v>
      </c>
      <c r="H4" s="19" t="s">
        <v>26</v>
      </c>
      <c r="I4" s="21">
        <f>'Feature Inventory'!J4/8</f>
        <v>5</v>
      </c>
      <c r="J4" s="21">
        <f>'Feature Inventory'!L4/8</f>
        <v>3</v>
      </c>
      <c r="K4" s="22" t="s">
        <v>639</v>
      </c>
      <c r="L4" s="22" t="s">
        <v>561</v>
      </c>
      <c r="M4" s="22">
        <v>4</v>
      </c>
      <c r="N4" s="22">
        <v>6</v>
      </c>
      <c r="O4" s="22">
        <v>7</v>
      </c>
      <c r="P4" s="22">
        <v>4</v>
      </c>
      <c r="Q4" s="20" t="s">
        <v>500</v>
      </c>
      <c r="R4" s="20" t="s">
        <v>640</v>
      </c>
    </row>
    <row r="5" spans="1:18" ht="45">
      <c r="A5" s="19">
        <v>5</v>
      </c>
      <c r="B5" s="19" t="s">
        <v>27</v>
      </c>
      <c r="C5" s="20" t="s">
        <v>20</v>
      </c>
      <c r="D5" s="20" t="s">
        <v>21</v>
      </c>
      <c r="E5" s="20" t="s">
        <v>28</v>
      </c>
      <c r="F5" s="19" t="s">
        <v>24</v>
      </c>
      <c r="G5" s="19" t="s">
        <v>25</v>
      </c>
      <c r="H5" s="19" t="s">
        <v>18</v>
      </c>
      <c r="I5" s="21">
        <f>'Feature Inventory'!J5/8</f>
        <v>12</v>
      </c>
      <c r="J5" s="21">
        <f>'Feature Inventory'!L5/8</f>
        <v>7</v>
      </c>
      <c r="K5" s="22" t="s">
        <v>641</v>
      </c>
      <c r="L5" s="22" t="s">
        <v>560</v>
      </c>
      <c r="M5" s="22">
        <v>15</v>
      </c>
      <c r="N5" s="22">
        <v>19</v>
      </c>
      <c r="O5" s="22">
        <v>25</v>
      </c>
      <c r="P5" s="22">
        <v>15</v>
      </c>
      <c r="Q5" s="20" t="s">
        <v>500</v>
      </c>
      <c r="R5" s="20" t="s">
        <v>642</v>
      </c>
    </row>
    <row r="6" spans="1:18" ht="45">
      <c r="A6" s="19">
        <v>6</v>
      </c>
      <c r="B6" s="19" t="s">
        <v>30</v>
      </c>
      <c r="C6" s="20" t="s">
        <v>20</v>
      </c>
      <c r="D6" s="20" t="s">
        <v>21</v>
      </c>
      <c r="E6" s="20" t="s">
        <v>31</v>
      </c>
      <c r="F6" s="19" t="s">
        <v>24</v>
      </c>
      <c r="G6" s="19" t="s">
        <v>25</v>
      </c>
      <c r="H6" s="19" t="s">
        <v>18</v>
      </c>
      <c r="I6" s="21">
        <f>'Feature Inventory'!J6/8</f>
        <v>15</v>
      </c>
      <c r="J6" s="21">
        <f>'Feature Inventory'!L6/8</f>
        <v>8</v>
      </c>
      <c r="K6" s="22" t="s">
        <v>643</v>
      </c>
      <c r="L6" s="22" t="s">
        <v>561</v>
      </c>
      <c r="M6" s="22">
        <v>18</v>
      </c>
      <c r="N6" s="22">
        <v>22</v>
      </c>
      <c r="O6" s="22">
        <v>30</v>
      </c>
      <c r="P6" s="22">
        <v>17</v>
      </c>
      <c r="Q6" s="20" t="s">
        <v>500</v>
      </c>
      <c r="R6" s="20" t="s">
        <v>640</v>
      </c>
    </row>
    <row r="7" spans="1:18" ht="45">
      <c r="A7" s="19">
        <v>7</v>
      </c>
      <c r="B7" s="19" t="s">
        <v>33</v>
      </c>
      <c r="C7" s="20" t="s">
        <v>20</v>
      </c>
      <c r="D7" s="20" t="s">
        <v>21</v>
      </c>
      <c r="E7" s="20" t="s">
        <v>34</v>
      </c>
      <c r="F7" s="19" t="s">
        <v>24</v>
      </c>
      <c r="G7" s="19" t="s">
        <v>25</v>
      </c>
      <c r="H7" s="19" t="s">
        <v>26</v>
      </c>
      <c r="I7" s="21">
        <f>'Feature Inventory'!J7/8</f>
        <v>6</v>
      </c>
      <c r="J7" s="21">
        <f>'Feature Inventory'!L7/8</f>
        <v>3</v>
      </c>
      <c r="K7" s="22" t="s">
        <v>643</v>
      </c>
      <c r="L7" s="22" t="s">
        <v>560</v>
      </c>
      <c r="M7" s="22">
        <v>7</v>
      </c>
      <c r="N7" s="22">
        <v>9</v>
      </c>
      <c r="O7" s="22">
        <v>12</v>
      </c>
      <c r="P7" s="22">
        <v>7</v>
      </c>
      <c r="Q7" s="20" t="s">
        <v>500</v>
      </c>
      <c r="R7" s="20" t="s">
        <v>642</v>
      </c>
    </row>
    <row r="8" spans="1:18" ht="45">
      <c r="A8" s="19">
        <v>8</v>
      </c>
      <c r="B8" s="19" t="s">
        <v>36</v>
      </c>
      <c r="C8" s="20" t="s">
        <v>20</v>
      </c>
      <c r="D8" s="20" t="s">
        <v>21</v>
      </c>
      <c r="E8" s="20" t="s">
        <v>37</v>
      </c>
      <c r="F8" s="19" t="s">
        <v>24</v>
      </c>
      <c r="G8" s="19" t="s">
        <v>25</v>
      </c>
      <c r="H8" s="19" t="s">
        <v>18</v>
      </c>
      <c r="I8" s="21">
        <f>'Feature Inventory'!J8/8</f>
        <v>10</v>
      </c>
      <c r="J8" s="21">
        <f>'Feature Inventory'!L8/8</f>
        <v>7</v>
      </c>
      <c r="K8" s="22" t="s">
        <v>639</v>
      </c>
      <c r="L8" s="22" t="s">
        <v>561</v>
      </c>
      <c r="M8" s="22">
        <v>9</v>
      </c>
      <c r="N8" s="22">
        <v>11</v>
      </c>
      <c r="O8" s="22">
        <v>14</v>
      </c>
      <c r="P8" s="22">
        <v>8</v>
      </c>
      <c r="Q8" s="20" t="s">
        <v>500</v>
      </c>
      <c r="R8" s="20" t="s">
        <v>640</v>
      </c>
    </row>
    <row r="9" spans="1:18" ht="45">
      <c r="A9" s="19">
        <v>9</v>
      </c>
      <c r="B9" s="19" t="s">
        <v>39</v>
      </c>
      <c r="C9" s="20" t="s">
        <v>20</v>
      </c>
      <c r="D9" s="20" t="s">
        <v>40</v>
      </c>
      <c r="E9" s="20" t="s">
        <v>41</v>
      </c>
      <c r="F9" s="19" t="s">
        <v>24</v>
      </c>
      <c r="G9" s="19" t="s">
        <v>25</v>
      </c>
      <c r="H9" s="19" t="s">
        <v>18</v>
      </c>
      <c r="I9" s="21">
        <f>'Feature Inventory'!J9/8</f>
        <v>18</v>
      </c>
      <c r="J9" s="21">
        <f>'Feature Inventory'!L9/8</f>
        <v>11</v>
      </c>
      <c r="K9" s="22" t="s">
        <v>644</v>
      </c>
      <c r="L9" s="22" t="s">
        <v>560</v>
      </c>
      <c r="M9" s="22">
        <v>28</v>
      </c>
      <c r="N9" s="22">
        <v>36</v>
      </c>
      <c r="O9" s="22">
        <v>48</v>
      </c>
      <c r="P9" s="22">
        <v>28</v>
      </c>
      <c r="Q9" s="20" t="s">
        <v>500</v>
      </c>
      <c r="R9" s="20" t="s">
        <v>642</v>
      </c>
    </row>
    <row r="10" spans="1:18" ht="45">
      <c r="A10" s="19">
        <v>10</v>
      </c>
      <c r="B10" s="19" t="s">
        <v>43</v>
      </c>
      <c r="C10" s="20" t="s">
        <v>20</v>
      </c>
      <c r="D10" s="20" t="s">
        <v>40</v>
      </c>
      <c r="E10" s="20" t="s">
        <v>44</v>
      </c>
      <c r="F10" s="19" t="s">
        <v>24</v>
      </c>
      <c r="G10" s="19" t="s">
        <v>46</v>
      </c>
      <c r="H10" s="19" t="s">
        <v>26</v>
      </c>
      <c r="I10" s="21">
        <f>'Feature Inventory'!J10/8</f>
        <v>7</v>
      </c>
      <c r="J10" s="21">
        <f>'Feature Inventory'!L10/8</f>
        <v>5</v>
      </c>
      <c r="K10" s="22" t="s">
        <v>645</v>
      </c>
      <c r="L10" s="22" t="s">
        <v>562</v>
      </c>
      <c r="M10" s="22">
        <v>7</v>
      </c>
      <c r="N10" s="22">
        <v>8</v>
      </c>
      <c r="O10" s="22">
        <v>11</v>
      </c>
      <c r="P10" s="22">
        <v>6</v>
      </c>
      <c r="Q10" s="20" t="s">
        <v>646</v>
      </c>
      <c r="R10" s="20" t="s">
        <v>647</v>
      </c>
    </row>
    <row r="11" spans="1:18" ht="45">
      <c r="A11" s="19">
        <v>11</v>
      </c>
      <c r="B11" s="19" t="s">
        <v>47</v>
      </c>
      <c r="C11" s="20" t="s">
        <v>20</v>
      </c>
      <c r="D11" s="20" t="s">
        <v>40</v>
      </c>
      <c r="E11" s="20" t="s">
        <v>48</v>
      </c>
      <c r="F11" s="19" t="s">
        <v>24</v>
      </c>
      <c r="G11" s="19" t="s">
        <v>46</v>
      </c>
      <c r="H11" s="19" t="s">
        <v>26</v>
      </c>
      <c r="I11" s="21">
        <f>'Feature Inventory'!J11/8</f>
        <v>6</v>
      </c>
      <c r="J11" s="21">
        <f>'Feature Inventory'!L11/8</f>
        <v>4</v>
      </c>
      <c r="K11" s="22" t="s">
        <v>645</v>
      </c>
      <c r="L11" s="22" t="s">
        <v>562</v>
      </c>
      <c r="M11" s="22">
        <v>6</v>
      </c>
      <c r="N11" s="22">
        <v>7</v>
      </c>
      <c r="O11" s="22">
        <v>10</v>
      </c>
      <c r="P11" s="22">
        <v>5</v>
      </c>
      <c r="Q11" s="20" t="s">
        <v>646</v>
      </c>
      <c r="R11" s="20" t="s">
        <v>647</v>
      </c>
    </row>
    <row r="12" spans="1:18" ht="45">
      <c r="A12" s="19">
        <v>12</v>
      </c>
      <c r="B12" s="19" t="s">
        <v>50</v>
      </c>
      <c r="C12" s="20" t="s">
        <v>20</v>
      </c>
      <c r="D12" s="20" t="s">
        <v>40</v>
      </c>
      <c r="E12" s="20" t="s">
        <v>51</v>
      </c>
      <c r="F12" s="19" t="s">
        <v>24</v>
      </c>
      <c r="G12" s="19" t="s">
        <v>46</v>
      </c>
      <c r="H12" s="19" t="s">
        <v>15</v>
      </c>
      <c r="I12" s="21">
        <f>'Feature Inventory'!J12/8</f>
        <v>4</v>
      </c>
      <c r="J12" s="21">
        <f>'Feature Inventory'!L12/8</f>
        <v>2</v>
      </c>
      <c r="K12" s="22" t="s">
        <v>645</v>
      </c>
      <c r="L12" s="22" t="s">
        <v>562</v>
      </c>
      <c r="M12" s="22">
        <v>4</v>
      </c>
      <c r="N12" s="22">
        <v>5</v>
      </c>
      <c r="O12" s="22">
        <v>6</v>
      </c>
      <c r="P12" s="22">
        <v>4</v>
      </c>
      <c r="Q12" s="20" t="s">
        <v>646</v>
      </c>
      <c r="R12" s="20" t="s">
        <v>647</v>
      </c>
    </row>
    <row r="13" spans="1:18" ht="45">
      <c r="A13" s="19">
        <v>13</v>
      </c>
      <c r="B13" s="19" t="s">
        <v>53</v>
      </c>
      <c r="C13" s="20" t="s">
        <v>20</v>
      </c>
      <c r="D13" s="20" t="s">
        <v>40</v>
      </c>
      <c r="E13" s="20" t="s">
        <v>54</v>
      </c>
      <c r="F13" s="19" t="s">
        <v>24</v>
      </c>
      <c r="G13" s="19" t="s">
        <v>25</v>
      </c>
      <c r="H13" s="19" t="s">
        <v>26</v>
      </c>
      <c r="I13" s="21">
        <f>'Feature Inventory'!J13/8</f>
        <v>5</v>
      </c>
      <c r="J13" s="21">
        <f>'Feature Inventory'!L13/8</f>
        <v>3</v>
      </c>
      <c r="K13" s="22" t="s">
        <v>645</v>
      </c>
      <c r="L13" s="22" t="s">
        <v>562</v>
      </c>
      <c r="M13" s="22">
        <v>5</v>
      </c>
      <c r="N13" s="22">
        <v>6</v>
      </c>
      <c r="O13" s="22">
        <v>8</v>
      </c>
      <c r="P13" s="22">
        <v>5</v>
      </c>
      <c r="Q13" s="20" t="s">
        <v>646</v>
      </c>
      <c r="R13" s="20" t="s">
        <v>647</v>
      </c>
    </row>
    <row r="14" spans="1:18" ht="45">
      <c r="A14" s="19">
        <v>14</v>
      </c>
      <c r="B14" s="19" t="s">
        <v>56</v>
      </c>
      <c r="C14" s="20" t="s">
        <v>20</v>
      </c>
      <c r="D14" s="20" t="s">
        <v>40</v>
      </c>
      <c r="E14" s="20" t="s">
        <v>57</v>
      </c>
      <c r="F14" s="19" t="s">
        <v>24</v>
      </c>
      <c r="G14" s="19" t="s">
        <v>25</v>
      </c>
      <c r="H14" s="19" t="s">
        <v>26</v>
      </c>
      <c r="I14" s="21">
        <f>'Feature Inventory'!J14/8</f>
        <v>6</v>
      </c>
      <c r="J14" s="21">
        <f>'Feature Inventory'!L14/8</f>
        <v>4</v>
      </c>
      <c r="K14" s="22" t="s">
        <v>645</v>
      </c>
      <c r="L14" s="22" t="s">
        <v>562</v>
      </c>
      <c r="M14" s="22">
        <v>6</v>
      </c>
      <c r="N14" s="22">
        <v>7</v>
      </c>
      <c r="O14" s="22">
        <v>10</v>
      </c>
      <c r="P14" s="22">
        <v>5</v>
      </c>
      <c r="Q14" s="20" t="s">
        <v>646</v>
      </c>
      <c r="R14" s="20" t="s">
        <v>647</v>
      </c>
    </row>
    <row r="15" spans="1:18" ht="45">
      <c r="A15" s="19">
        <v>15</v>
      </c>
      <c r="B15" s="19" t="s">
        <v>59</v>
      </c>
      <c r="C15" s="20" t="s">
        <v>20</v>
      </c>
      <c r="D15" s="20" t="s">
        <v>60</v>
      </c>
      <c r="E15" s="20" t="s">
        <v>61</v>
      </c>
      <c r="F15" s="19" t="s">
        <v>24</v>
      </c>
      <c r="G15" s="19" t="s">
        <v>25</v>
      </c>
      <c r="H15" s="19" t="s">
        <v>18</v>
      </c>
      <c r="I15" s="21">
        <f>'Feature Inventory'!J15/8</f>
        <v>18</v>
      </c>
      <c r="J15" s="21">
        <f>'Feature Inventory'!L15/8</f>
        <v>13</v>
      </c>
      <c r="K15" s="22" t="s">
        <v>643</v>
      </c>
      <c r="L15" s="22" t="s">
        <v>560</v>
      </c>
      <c r="M15" s="22">
        <v>32</v>
      </c>
      <c r="N15" s="22">
        <v>42</v>
      </c>
      <c r="O15" s="22">
        <v>56</v>
      </c>
      <c r="P15" s="22">
        <v>33</v>
      </c>
      <c r="Q15" s="20" t="s">
        <v>500</v>
      </c>
      <c r="R15" s="20" t="s">
        <v>642</v>
      </c>
    </row>
    <row r="16" spans="1:18" ht="45">
      <c r="A16" s="19">
        <v>16</v>
      </c>
      <c r="B16" s="19" t="s">
        <v>63</v>
      </c>
      <c r="C16" s="20" t="s">
        <v>20</v>
      </c>
      <c r="D16" s="20" t="s">
        <v>60</v>
      </c>
      <c r="E16" s="20" t="s">
        <v>64</v>
      </c>
      <c r="F16" s="19" t="s">
        <v>24</v>
      </c>
      <c r="G16" s="19" t="s">
        <v>25</v>
      </c>
      <c r="H16" s="19" t="s">
        <v>26</v>
      </c>
      <c r="I16" s="21">
        <f>'Feature Inventory'!J16/8</f>
        <v>7</v>
      </c>
      <c r="J16" s="21">
        <f>'Feature Inventory'!L16/8</f>
        <v>4</v>
      </c>
      <c r="K16" s="22" t="s">
        <v>643</v>
      </c>
      <c r="L16" s="22" t="s">
        <v>561</v>
      </c>
      <c r="M16" s="22">
        <v>8</v>
      </c>
      <c r="N16" s="22">
        <v>10</v>
      </c>
      <c r="O16" s="22">
        <v>14</v>
      </c>
      <c r="P16" s="22">
        <v>8</v>
      </c>
      <c r="Q16" s="20" t="s">
        <v>500</v>
      </c>
      <c r="R16" s="20" t="s">
        <v>640</v>
      </c>
    </row>
    <row r="17" spans="1:18" ht="45">
      <c r="A17" s="19">
        <v>17</v>
      </c>
      <c r="B17" s="19" t="s">
        <v>66</v>
      </c>
      <c r="C17" s="20" t="s">
        <v>20</v>
      </c>
      <c r="D17" s="20" t="s">
        <v>60</v>
      </c>
      <c r="E17" s="20" t="s">
        <v>67</v>
      </c>
      <c r="F17" s="19" t="s">
        <v>24</v>
      </c>
      <c r="G17" s="19" t="s">
        <v>25</v>
      </c>
      <c r="H17" s="19" t="s">
        <v>26</v>
      </c>
      <c r="I17" s="21">
        <f>'Feature Inventory'!J17/8</f>
        <v>6</v>
      </c>
      <c r="J17" s="21">
        <f>'Feature Inventory'!L17/8</f>
        <v>3</v>
      </c>
      <c r="K17" s="22" t="s">
        <v>648</v>
      </c>
      <c r="L17" s="22" t="s">
        <v>561</v>
      </c>
      <c r="M17" s="22">
        <v>6</v>
      </c>
      <c r="N17" s="22">
        <v>8</v>
      </c>
      <c r="O17" s="22">
        <v>10</v>
      </c>
      <c r="P17" s="22">
        <v>6</v>
      </c>
      <c r="Q17" s="20" t="s">
        <v>500</v>
      </c>
      <c r="R17" s="20" t="s">
        <v>640</v>
      </c>
    </row>
    <row r="18" spans="1:18" ht="45">
      <c r="A18" s="19">
        <v>18</v>
      </c>
      <c r="B18" s="19" t="s">
        <v>69</v>
      </c>
      <c r="C18" s="20" t="s">
        <v>20</v>
      </c>
      <c r="D18" s="20" t="s">
        <v>60</v>
      </c>
      <c r="E18" s="20" t="s">
        <v>70</v>
      </c>
      <c r="F18" s="19" t="s">
        <v>24</v>
      </c>
      <c r="G18" s="19" t="s">
        <v>25</v>
      </c>
      <c r="H18" s="19" t="s">
        <v>26</v>
      </c>
      <c r="I18" s="21">
        <f>'Feature Inventory'!J18/8</f>
        <v>6</v>
      </c>
      <c r="J18" s="21">
        <f>'Feature Inventory'!L18/8</f>
        <v>3</v>
      </c>
      <c r="K18" s="22" t="s">
        <v>648</v>
      </c>
      <c r="L18" s="22" t="s">
        <v>561</v>
      </c>
      <c r="M18" s="22">
        <v>6</v>
      </c>
      <c r="N18" s="22">
        <v>8</v>
      </c>
      <c r="O18" s="22">
        <v>10</v>
      </c>
      <c r="P18" s="22">
        <v>6</v>
      </c>
      <c r="Q18" s="20" t="s">
        <v>500</v>
      </c>
      <c r="R18" s="20" t="s">
        <v>640</v>
      </c>
    </row>
    <row r="19" spans="1:18" ht="45">
      <c r="A19" s="19">
        <v>19</v>
      </c>
      <c r="B19" s="19" t="s">
        <v>72</v>
      </c>
      <c r="C19" s="20" t="s">
        <v>20</v>
      </c>
      <c r="D19" s="20" t="s">
        <v>60</v>
      </c>
      <c r="E19" s="20" t="s">
        <v>73</v>
      </c>
      <c r="F19" s="19" t="s">
        <v>24</v>
      </c>
      <c r="G19" s="19" t="s">
        <v>25</v>
      </c>
      <c r="H19" s="19" t="s">
        <v>26</v>
      </c>
      <c r="I19" s="21">
        <f>'Feature Inventory'!J19/8</f>
        <v>6</v>
      </c>
      <c r="J19" s="21">
        <f>'Feature Inventory'!L19/8</f>
        <v>3</v>
      </c>
      <c r="K19" s="22" t="s">
        <v>643</v>
      </c>
      <c r="L19" s="22" t="s">
        <v>560</v>
      </c>
      <c r="M19" s="22">
        <v>7</v>
      </c>
      <c r="N19" s="22">
        <v>9</v>
      </c>
      <c r="O19" s="22">
        <v>12</v>
      </c>
      <c r="P19" s="22">
        <v>7</v>
      </c>
      <c r="Q19" s="20" t="s">
        <v>500</v>
      </c>
      <c r="R19" s="20" t="s">
        <v>642</v>
      </c>
    </row>
    <row r="20" spans="1:18" ht="45">
      <c r="A20" s="19">
        <v>20</v>
      </c>
      <c r="B20" s="19" t="s">
        <v>75</v>
      </c>
      <c r="C20" s="20" t="s">
        <v>20</v>
      </c>
      <c r="D20" s="20" t="s">
        <v>60</v>
      </c>
      <c r="E20" s="20" t="s">
        <v>76</v>
      </c>
      <c r="F20" s="19" t="s">
        <v>24</v>
      </c>
      <c r="G20" s="19" t="s">
        <v>25</v>
      </c>
      <c r="H20" s="19" t="s">
        <v>26</v>
      </c>
      <c r="I20" s="21">
        <f>'Feature Inventory'!J20/8</f>
        <v>6</v>
      </c>
      <c r="J20" s="21">
        <f>'Feature Inventory'!L20/8</f>
        <v>3</v>
      </c>
      <c r="K20" s="22" t="s">
        <v>643</v>
      </c>
      <c r="L20" s="22" t="s">
        <v>560</v>
      </c>
      <c r="M20" s="22">
        <v>7</v>
      </c>
      <c r="N20" s="22">
        <v>9</v>
      </c>
      <c r="O20" s="22">
        <v>12</v>
      </c>
      <c r="P20" s="22">
        <v>7</v>
      </c>
      <c r="Q20" s="20" t="s">
        <v>500</v>
      </c>
      <c r="R20" s="20" t="s">
        <v>642</v>
      </c>
    </row>
    <row r="21" spans="1:18" ht="45">
      <c r="A21" s="19">
        <v>21</v>
      </c>
      <c r="B21" s="19" t="s">
        <v>78</v>
      </c>
      <c r="C21" s="20" t="s">
        <v>20</v>
      </c>
      <c r="D21" s="20" t="s">
        <v>60</v>
      </c>
      <c r="E21" s="20" t="s">
        <v>79</v>
      </c>
      <c r="F21" s="19" t="s">
        <v>24</v>
      </c>
      <c r="G21" s="19" t="s">
        <v>25</v>
      </c>
      <c r="H21" s="19" t="s">
        <v>26</v>
      </c>
      <c r="I21" s="21">
        <f>'Feature Inventory'!J21/8</f>
        <v>5</v>
      </c>
      <c r="J21" s="21">
        <f>'Feature Inventory'!L21/8</f>
        <v>3</v>
      </c>
      <c r="K21" s="22" t="s">
        <v>643</v>
      </c>
      <c r="L21" s="22" t="s">
        <v>560</v>
      </c>
      <c r="M21" s="22">
        <v>6</v>
      </c>
      <c r="N21" s="22">
        <v>8</v>
      </c>
      <c r="O21" s="22">
        <v>10</v>
      </c>
      <c r="P21" s="22">
        <v>6</v>
      </c>
      <c r="Q21" s="20" t="s">
        <v>500</v>
      </c>
      <c r="R21" s="20" t="s">
        <v>642</v>
      </c>
    </row>
    <row r="22" spans="1:18" ht="45">
      <c r="A22" s="19">
        <v>22</v>
      </c>
      <c r="B22" s="19" t="s">
        <v>81</v>
      </c>
      <c r="C22" s="20" t="s">
        <v>20</v>
      </c>
      <c r="D22" s="20" t="s">
        <v>60</v>
      </c>
      <c r="E22" s="20" t="s">
        <v>82</v>
      </c>
      <c r="F22" s="19" t="s">
        <v>24</v>
      </c>
      <c r="G22" s="19" t="s">
        <v>46</v>
      </c>
      <c r="H22" s="19" t="s">
        <v>26</v>
      </c>
      <c r="I22" s="21">
        <f>'Feature Inventory'!J22/8</f>
        <v>5</v>
      </c>
      <c r="J22" s="21">
        <f>'Feature Inventory'!L22/8</f>
        <v>3</v>
      </c>
      <c r="K22" s="22" t="s">
        <v>643</v>
      </c>
      <c r="L22" s="22" t="s">
        <v>560</v>
      </c>
      <c r="M22" s="22">
        <v>6</v>
      </c>
      <c r="N22" s="22">
        <v>8</v>
      </c>
      <c r="O22" s="22">
        <v>10</v>
      </c>
      <c r="P22" s="22">
        <v>6</v>
      </c>
      <c r="Q22" s="20" t="s">
        <v>500</v>
      </c>
      <c r="R22" s="20" t="s">
        <v>642</v>
      </c>
    </row>
    <row r="23" spans="1:18" ht="45">
      <c r="A23" s="19">
        <v>23</v>
      </c>
      <c r="B23" s="19" t="s">
        <v>84</v>
      </c>
      <c r="C23" s="20" t="s">
        <v>20</v>
      </c>
      <c r="D23" s="20" t="s">
        <v>60</v>
      </c>
      <c r="E23" s="20" t="s">
        <v>85</v>
      </c>
      <c r="F23" s="19" t="s">
        <v>24</v>
      </c>
      <c r="G23" s="19" t="s">
        <v>25</v>
      </c>
      <c r="H23" s="19" t="s">
        <v>18</v>
      </c>
      <c r="I23" s="21">
        <f>'Feature Inventory'!J23/8</f>
        <v>12</v>
      </c>
      <c r="J23" s="21">
        <f>'Feature Inventory'!L23/8</f>
        <v>8</v>
      </c>
      <c r="K23" s="22" t="s">
        <v>643</v>
      </c>
      <c r="L23" s="22" t="s">
        <v>560</v>
      </c>
      <c r="M23" s="22">
        <v>18</v>
      </c>
      <c r="N23" s="22">
        <v>24</v>
      </c>
      <c r="O23" s="22">
        <v>32</v>
      </c>
      <c r="P23" s="22">
        <v>19</v>
      </c>
      <c r="Q23" s="20" t="s">
        <v>500</v>
      </c>
      <c r="R23" s="20" t="s">
        <v>642</v>
      </c>
    </row>
    <row r="24" spans="1:18" ht="45">
      <c r="A24" s="19">
        <v>24</v>
      </c>
      <c r="B24" s="19" t="s">
        <v>87</v>
      </c>
      <c r="C24" s="20" t="s">
        <v>20</v>
      </c>
      <c r="D24" s="20" t="s">
        <v>88</v>
      </c>
      <c r="E24" s="20" t="s">
        <v>89</v>
      </c>
      <c r="F24" s="19" t="s">
        <v>24</v>
      </c>
      <c r="G24" s="19" t="s">
        <v>25</v>
      </c>
      <c r="H24" s="19" t="s">
        <v>26</v>
      </c>
      <c r="I24" s="21">
        <f>'Feature Inventory'!J24/8</f>
        <v>6</v>
      </c>
      <c r="J24" s="21">
        <f>'Feature Inventory'!L24/8</f>
        <v>4</v>
      </c>
      <c r="K24" s="22" t="s">
        <v>649</v>
      </c>
      <c r="L24" s="22" t="s">
        <v>561</v>
      </c>
      <c r="M24" s="22">
        <v>5</v>
      </c>
      <c r="N24" s="22">
        <v>7</v>
      </c>
      <c r="O24" s="22">
        <v>10</v>
      </c>
      <c r="P24" s="22">
        <v>6</v>
      </c>
      <c r="Q24" s="20" t="s">
        <v>500</v>
      </c>
      <c r="R24" s="20" t="s">
        <v>640</v>
      </c>
    </row>
    <row r="25" spans="1:18" ht="45">
      <c r="A25" s="19">
        <v>25</v>
      </c>
      <c r="B25" s="19" t="s">
        <v>91</v>
      </c>
      <c r="C25" s="20" t="s">
        <v>20</v>
      </c>
      <c r="D25" s="20" t="s">
        <v>88</v>
      </c>
      <c r="E25" s="20" t="s">
        <v>92</v>
      </c>
      <c r="F25" s="19" t="s">
        <v>24</v>
      </c>
      <c r="G25" s="19" t="s">
        <v>25</v>
      </c>
      <c r="H25" s="19" t="s">
        <v>26</v>
      </c>
      <c r="I25" s="21">
        <f>'Feature Inventory'!J25/8</f>
        <v>5</v>
      </c>
      <c r="J25" s="21">
        <f>'Feature Inventory'!L25/8</f>
        <v>3</v>
      </c>
      <c r="K25" s="22" t="s">
        <v>649</v>
      </c>
      <c r="L25" s="22" t="s">
        <v>561</v>
      </c>
      <c r="M25" s="22">
        <v>4</v>
      </c>
      <c r="N25" s="22">
        <v>6</v>
      </c>
      <c r="O25" s="22">
        <v>8</v>
      </c>
      <c r="P25" s="22">
        <v>5</v>
      </c>
      <c r="Q25" s="20" t="s">
        <v>500</v>
      </c>
      <c r="R25" s="20" t="s">
        <v>640</v>
      </c>
    </row>
    <row r="26" spans="1:18" ht="45">
      <c r="A26" s="19">
        <v>26</v>
      </c>
      <c r="B26" s="19" t="s">
        <v>94</v>
      </c>
      <c r="C26" s="20" t="s">
        <v>20</v>
      </c>
      <c r="D26" s="20" t="s">
        <v>88</v>
      </c>
      <c r="E26" s="20" t="s">
        <v>95</v>
      </c>
      <c r="F26" s="19" t="s">
        <v>24</v>
      </c>
      <c r="G26" s="19" t="s">
        <v>25</v>
      </c>
      <c r="H26" s="19" t="s">
        <v>26</v>
      </c>
      <c r="I26" s="21">
        <f>'Feature Inventory'!J26/8</f>
        <v>5</v>
      </c>
      <c r="J26" s="21">
        <f>'Feature Inventory'!L26/8</f>
        <v>3</v>
      </c>
      <c r="K26" s="22" t="s">
        <v>649</v>
      </c>
      <c r="L26" s="22" t="s">
        <v>561</v>
      </c>
      <c r="M26" s="22">
        <v>4</v>
      </c>
      <c r="N26" s="22">
        <v>6</v>
      </c>
      <c r="O26" s="22">
        <v>8</v>
      </c>
      <c r="P26" s="22">
        <v>5</v>
      </c>
      <c r="Q26" s="20" t="s">
        <v>500</v>
      </c>
      <c r="R26" s="20" t="s">
        <v>640</v>
      </c>
    </row>
    <row r="27" spans="1:18" ht="45">
      <c r="A27" s="19">
        <v>27</v>
      </c>
      <c r="B27" s="19" t="s">
        <v>97</v>
      </c>
      <c r="C27" s="20" t="s">
        <v>20</v>
      </c>
      <c r="D27" s="20" t="s">
        <v>88</v>
      </c>
      <c r="E27" s="20" t="s">
        <v>98</v>
      </c>
      <c r="F27" s="19" t="s">
        <v>24</v>
      </c>
      <c r="G27" s="19" t="s">
        <v>25</v>
      </c>
      <c r="H27" s="19" t="s">
        <v>18</v>
      </c>
      <c r="I27" s="21">
        <f>'Feature Inventory'!J27/8</f>
        <v>10</v>
      </c>
      <c r="J27" s="21">
        <f>'Feature Inventory'!L27/8</f>
        <v>7</v>
      </c>
      <c r="K27" s="22" t="s">
        <v>644</v>
      </c>
      <c r="L27" s="22" t="s">
        <v>560</v>
      </c>
      <c r="M27" s="22">
        <v>20</v>
      </c>
      <c r="N27" s="22">
        <v>30</v>
      </c>
      <c r="O27" s="22">
        <v>45</v>
      </c>
      <c r="P27" s="22">
        <v>26</v>
      </c>
      <c r="Q27" s="20" t="s">
        <v>500</v>
      </c>
      <c r="R27" s="20" t="s">
        <v>642</v>
      </c>
    </row>
    <row r="28" spans="1:18" ht="45">
      <c r="A28" s="19">
        <v>28</v>
      </c>
      <c r="B28" s="19" t="s">
        <v>100</v>
      </c>
      <c r="C28" s="20" t="s">
        <v>20</v>
      </c>
      <c r="D28" s="20" t="s">
        <v>88</v>
      </c>
      <c r="E28" s="20" t="s">
        <v>101</v>
      </c>
      <c r="F28" s="19" t="s">
        <v>24</v>
      </c>
      <c r="G28" s="19" t="s">
        <v>46</v>
      </c>
      <c r="H28" s="19" t="s">
        <v>26</v>
      </c>
      <c r="I28" s="21">
        <f>'Feature Inventory'!J28/8</f>
        <v>6</v>
      </c>
      <c r="J28" s="21">
        <f>'Feature Inventory'!L28/8</f>
        <v>3</v>
      </c>
      <c r="K28" s="22" t="s">
        <v>648</v>
      </c>
      <c r="L28" s="22" t="s">
        <v>561</v>
      </c>
      <c r="M28" s="22">
        <v>6</v>
      </c>
      <c r="N28" s="22">
        <v>8</v>
      </c>
      <c r="O28" s="22">
        <v>10</v>
      </c>
      <c r="P28" s="22">
        <v>6</v>
      </c>
      <c r="Q28" s="20" t="s">
        <v>500</v>
      </c>
      <c r="R28" s="20" t="s">
        <v>640</v>
      </c>
    </row>
    <row r="29" spans="1:18" ht="45">
      <c r="A29" s="19">
        <v>29</v>
      </c>
      <c r="B29" s="19" t="s">
        <v>103</v>
      </c>
      <c r="C29" s="20" t="s">
        <v>20</v>
      </c>
      <c r="D29" s="20" t="s">
        <v>88</v>
      </c>
      <c r="E29" s="20" t="s">
        <v>104</v>
      </c>
      <c r="F29" s="19" t="s">
        <v>24</v>
      </c>
      <c r="G29" s="19" t="s">
        <v>25</v>
      </c>
      <c r="H29" s="19" t="s">
        <v>15</v>
      </c>
      <c r="I29" s="21">
        <f>'Feature Inventory'!J29/8</f>
        <v>4</v>
      </c>
      <c r="J29" s="21">
        <f>'Feature Inventory'!L29/8</f>
        <v>2</v>
      </c>
      <c r="K29" s="22" t="s">
        <v>649</v>
      </c>
      <c r="L29" s="22" t="s">
        <v>561</v>
      </c>
      <c r="M29" s="22">
        <v>4</v>
      </c>
      <c r="N29" s="22">
        <v>5</v>
      </c>
      <c r="O29" s="22">
        <v>6</v>
      </c>
      <c r="P29" s="22">
        <v>4</v>
      </c>
      <c r="Q29" s="20" t="s">
        <v>500</v>
      </c>
      <c r="R29" s="20" t="s">
        <v>640</v>
      </c>
    </row>
    <row r="30" spans="1:18" ht="45">
      <c r="A30" s="19">
        <v>30</v>
      </c>
      <c r="B30" s="19" t="s">
        <v>106</v>
      </c>
      <c r="C30" s="20" t="s">
        <v>20</v>
      </c>
      <c r="D30" s="20" t="s">
        <v>88</v>
      </c>
      <c r="E30" s="20" t="s">
        <v>107</v>
      </c>
      <c r="F30" s="19" t="s">
        <v>24</v>
      </c>
      <c r="G30" s="19" t="s">
        <v>25</v>
      </c>
      <c r="H30" s="19" t="s">
        <v>26</v>
      </c>
      <c r="I30" s="21">
        <f>'Feature Inventory'!J30/8</f>
        <v>6</v>
      </c>
      <c r="J30" s="21">
        <f>'Feature Inventory'!L30/8</f>
        <v>4</v>
      </c>
      <c r="K30" s="22" t="s">
        <v>649</v>
      </c>
      <c r="L30" s="22" t="s">
        <v>561</v>
      </c>
      <c r="M30" s="22">
        <v>5</v>
      </c>
      <c r="N30" s="22">
        <v>7</v>
      </c>
      <c r="O30" s="22">
        <v>10</v>
      </c>
      <c r="P30" s="22">
        <v>6</v>
      </c>
      <c r="Q30" s="20" t="s">
        <v>500</v>
      </c>
      <c r="R30" s="20" t="s">
        <v>640</v>
      </c>
    </row>
    <row r="31" spans="1:18" ht="45">
      <c r="A31" s="19">
        <v>31</v>
      </c>
      <c r="B31" s="19" t="s">
        <v>109</v>
      </c>
      <c r="C31" s="20" t="s">
        <v>20</v>
      </c>
      <c r="D31" s="20" t="s">
        <v>88</v>
      </c>
      <c r="E31" s="20" t="s">
        <v>110</v>
      </c>
      <c r="F31" s="19" t="s">
        <v>24</v>
      </c>
      <c r="G31" s="19" t="s">
        <v>25</v>
      </c>
      <c r="H31" s="19" t="s">
        <v>15</v>
      </c>
      <c r="I31" s="21">
        <f>'Feature Inventory'!J31/8</f>
        <v>4</v>
      </c>
      <c r="J31" s="21">
        <f>'Feature Inventory'!L31/8</f>
        <v>2</v>
      </c>
      <c r="K31" s="22" t="s">
        <v>648</v>
      </c>
      <c r="L31" s="22" t="s">
        <v>561</v>
      </c>
      <c r="M31" s="22">
        <v>4</v>
      </c>
      <c r="N31" s="22">
        <v>5</v>
      </c>
      <c r="O31" s="22">
        <v>6</v>
      </c>
      <c r="P31" s="22">
        <v>4</v>
      </c>
      <c r="Q31" s="20" t="s">
        <v>500</v>
      </c>
      <c r="R31" s="20" t="s">
        <v>640</v>
      </c>
    </row>
    <row r="32" spans="1:18" ht="45">
      <c r="A32" s="19">
        <v>32</v>
      </c>
      <c r="B32" s="19" t="s">
        <v>112</v>
      </c>
      <c r="C32" s="20" t="s">
        <v>20</v>
      </c>
      <c r="D32" s="20" t="s">
        <v>113</v>
      </c>
      <c r="E32" s="20" t="s">
        <v>114</v>
      </c>
      <c r="F32" s="19" t="s">
        <v>24</v>
      </c>
      <c r="G32" s="19" t="s">
        <v>25</v>
      </c>
      <c r="H32" s="19" t="s">
        <v>26</v>
      </c>
      <c r="I32" s="21">
        <f>'Feature Inventory'!J32/8</f>
        <v>8</v>
      </c>
      <c r="J32" s="21">
        <f>'Feature Inventory'!L32/8</f>
        <v>5</v>
      </c>
      <c r="K32" s="22" t="s">
        <v>650</v>
      </c>
      <c r="L32" s="22" t="s">
        <v>561</v>
      </c>
      <c r="M32" s="22">
        <v>9</v>
      </c>
      <c r="N32" s="22">
        <v>11</v>
      </c>
      <c r="O32" s="22">
        <v>14</v>
      </c>
      <c r="P32" s="22">
        <v>8</v>
      </c>
      <c r="Q32" s="20" t="s">
        <v>500</v>
      </c>
      <c r="R32" s="20" t="s">
        <v>640</v>
      </c>
    </row>
    <row r="33" spans="1:18" ht="45">
      <c r="A33" s="19">
        <v>33</v>
      </c>
      <c r="B33" s="19" t="s">
        <v>116</v>
      </c>
      <c r="C33" s="20" t="s">
        <v>20</v>
      </c>
      <c r="D33" s="20" t="s">
        <v>113</v>
      </c>
      <c r="E33" s="20" t="s">
        <v>117</v>
      </c>
      <c r="F33" s="19" t="s">
        <v>24</v>
      </c>
      <c r="G33" s="19" t="s">
        <v>25</v>
      </c>
      <c r="H33" s="19" t="s">
        <v>26</v>
      </c>
      <c r="I33" s="21">
        <f>'Feature Inventory'!J33/8</f>
        <v>7</v>
      </c>
      <c r="J33" s="21">
        <f>'Feature Inventory'!L33/8</f>
        <v>4</v>
      </c>
      <c r="K33" s="22" t="s">
        <v>650</v>
      </c>
      <c r="L33" s="22" t="s">
        <v>561</v>
      </c>
      <c r="M33" s="22">
        <v>8</v>
      </c>
      <c r="N33" s="22">
        <v>10</v>
      </c>
      <c r="O33" s="22">
        <v>13</v>
      </c>
      <c r="P33" s="22">
        <v>8</v>
      </c>
      <c r="Q33" s="20" t="s">
        <v>500</v>
      </c>
      <c r="R33" s="20" t="s">
        <v>640</v>
      </c>
    </row>
    <row r="34" spans="1:18" ht="45">
      <c r="A34" s="19">
        <v>34</v>
      </c>
      <c r="B34" s="19" t="s">
        <v>119</v>
      </c>
      <c r="C34" s="20" t="s">
        <v>20</v>
      </c>
      <c r="D34" s="20" t="s">
        <v>113</v>
      </c>
      <c r="E34" s="20" t="s">
        <v>120</v>
      </c>
      <c r="F34" s="19" t="s">
        <v>24</v>
      </c>
      <c r="G34" s="19" t="s">
        <v>25</v>
      </c>
      <c r="H34" s="19" t="s">
        <v>15</v>
      </c>
      <c r="I34" s="21">
        <f>'Feature Inventory'!J34/8</f>
        <v>5</v>
      </c>
      <c r="J34" s="21">
        <f>'Feature Inventory'!L34/8</f>
        <v>3</v>
      </c>
      <c r="K34" s="22" t="s">
        <v>650</v>
      </c>
      <c r="L34" s="22" t="s">
        <v>561</v>
      </c>
      <c r="M34" s="22">
        <v>6</v>
      </c>
      <c r="N34" s="22">
        <v>7</v>
      </c>
      <c r="O34" s="22">
        <v>9</v>
      </c>
      <c r="P34" s="22">
        <v>5</v>
      </c>
      <c r="Q34" s="20" t="s">
        <v>500</v>
      </c>
      <c r="R34" s="20" t="s">
        <v>640</v>
      </c>
    </row>
    <row r="35" spans="1:18" ht="45">
      <c r="A35" s="19">
        <v>35</v>
      </c>
      <c r="B35" s="19" t="s">
        <v>122</v>
      </c>
      <c r="C35" s="20" t="s">
        <v>20</v>
      </c>
      <c r="D35" s="20" t="s">
        <v>113</v>
      </c>
      <c r="E35" s="20" t="s">
        <v>123</v>
      </c>
      <c r="F35" s="19" t="s">
        <v>24</v>
      </c>
      <c r="G35" s="19" t="s">
        <v>25</v>
      </c>
      <c r="H35" s="19" t="s">
        <v>18</v>
      </c>
      <c r="I35" s="21">
        <f>'Feature Inventory'!J35/8</f>
        <v>25</v>
      </c>
      <c r="J35" s="21">
        <f>'Feature Inventory'!L35/8</f>
        <v>18</v>
      </c>
      <c r="K35" s="22" t="s">
        <v>651</v>
      </c>
      <c r="L35" s="22" t="s">
        <v>560</v>
      </c>
      <c r="M35" s="22">
        <v>40</v>
      </c>
      <c r="N35" s="22">
        <v>50</v>
      </c>
      <c r="O35" s="22">
        <v>70</v>
      </c>
      <c r="P35" s="22">
        <v>41</v>
      </c>
      <c r="Q35" s="20" t="s">
        <v>500</v>
      </c>
      <c r="R35" s="20" t="s">
        <v>642</v>
      </c>
    </row>
    <row r="36" spans="1:18" ht="45">
      <c r="A36" s="19">
        <v>36</v>
      </c>
      <c r="B36" s="19" t="s">
        <v>125</v>
      </c>
      <c r="C36" s="20" t="s">
        <v>20</v>
      </c>
      <c r="D36" s="20" t="s">
        <v>113</v>
      </c>
      <c r="E36" s="20" t="s">
        <v>126</v>
      </c>
      <c r="F36" s="19" t="s">
        <v>128</v>
      </c>
      <c r="G36" s="19" t="s">
        <v>25</v>
      </c>
      <c r="H36" s="19" t="s">
        <v>18</v>
      </c>
      <c r="I36" s="21">
        <f>'Feature Inventory'!J36/8</f>
        <v>20</v>
      </c>
      <c r="J36" s="21">
        <f>'Feature Inventory'!L36/8</f>
        <v>14</v>
      </c>
      <c r="K36" s="22" t="s">
        <v>651</v>
      </c>
      <c r="L36" s="22" t="s">
        <v>560</v>
      </c>
      <c r="M36" s="22">
        <v>28</v>
      </c>
      <c r="N36" s="22">
        <v>36</v>
      </c>
      <c r="O36" s="22">
        <v>48</v>
      </c>
      <c r="P36" s="22">
        <v>30</v>
      </c>
      <c r="Q36" s="20" t="s">
        <v>500</v>
      </c>
      <c r="R36" s="20" t="s">
        <v>642</v>
      </c>
    </row>
    <row r="37" spans="1:18" ht="45">
      <c r="A37" s="19">
        <v>37</v>
      </c>
      <c r="B37" s="19" t="s">
        <v>129</v>
      </c>
      <c r="C37" s="20" t="s">
        <v>20</v>
      </c>
      <c r="D37" s="20" t="s">
        <v>113</v>
      </c>
      <c r="E37" s="20" t="s">
        <v>130</v>
      </c>
      <c r="F37" s="19" t="s">
        <v>24</v>
      </c>
      <c r="G37" s="19" t="s">
        <v>132</v>
      </c>
      <c r="H37" s="19" t="s">
        <v>18</v>
      </c>
      <c r="I37" s="21">
        <f>'Feature Inventory'!J37/8</f>
        <v>18</v>
      </c>
      <c r="J37" s="21">
        <f>'Feature Inventory'!L37/8</f>
        <v>13</v>
      </c>
      <c r="K37" s="22" t="s">
        <v>651</v>
      </c>
      <c r="L37" s="22" t="s">
        <v>560</v>
      </c>
      <c r="M37" s="22">
        <v>25</v>
      </c>
      <c r="N37" s="22">
        <v>32</v>
      </c>
      <c r="O37" s="22">
        <v>43</v>
      </c>
      <c r="P37" s="22">
        <v>26</v>
      </c>
      <c r="Q37" s="20" t="s">
        <v>500</v>
      </c>
      <c r="R37" s="20" t="s">
        <v>642</v>
      </c>
    </row>
    <row r="38" spans="1:18" ht="45">
      <c r="A38" s="19">
        <v>38</v>
      </c>
      <c r="B38" s="19" t="s">
        <v>133</v>
      </c>
      <c r="C38" s="20" t="s">
        <v>20</v>
      </c>
      <c r="D38" s="20" t="s">
        <v>113</v>
      </c>
      <c r="E38" s="20" t="s">
        <v>134</v>
      </c>
      <c r="F38" s="19" t="s">
        <v>24</v>
      </c>
      <c r="G38" s="19" t="s">
        <v>25</v>
      </c>
      <c r="H38" s="19" t="s">
        <v>18</v>
      </c>
      <c r="I38" s="21">
        <f>'Feature Inventory'!J38/8</f>
        <v>12</v>
      </c>
      <c r="J38" s="21">
        <f>'Feature Inventory'!L38/8</f>
        <v>7</v>
      </c>
      <c r="K38" s="22" t="s">
        <v>650</v>
      </c>
      <c r="L38" s="22" t="s">
        <v>560</v>
      </c>
      <c r="M38" s="22">
        <v>18</v>
      </c>
      <c r="N38" s="22">
        <v>24</v>
      </c>
      <c r="O38" s="22">
        <v>32</v>
      </c>
      <c r="P38" s="22">
        <v>18</v>
      </c>
      <c r="Q38" s="20" t="s">
        <v>500</v>
      </c>
      <c r="R38" s="20" t="s">
        <v>642</v>
      </c>
    </row>
    <row r="39" spans="1:18" ht="45">
      <c r="A39" s="19">
        <v>39</v>
      </c>
      <c r="B39" s="19" t="s">
        <v>136</v>
      </c>
      <c r="C39" s="20" t="s">
        <v>20</v>
      </c>
      <c r="D39" s="20" t="s">
        <v>113</v>
      </c>
      <c r="E39" s="20" t="s">
        <v>137</v>
      </c>
      <c r="F39" s="19" t="s">
        <v>24</v>
      </c>
      <c r="G39" s="19" t="s">
        <v>132</v>
      </c>
      <c r="H39" s="19" t="s">
        <v>26</v>
      </c>
      <c r="I39" s="21">
        <f>'Feature Inventory'!J39/8</f>
        <v>6</v>
      </c>
      <c r="J39" s="21">
        <f>'Feature Inventory'!L39/8</f>
        <v>4</v>
      </c>
      <c r="K39" s="22" t="s">
        <v>650</v>
      </c>
      <c r="L39" s="22" t="s">
        <v>561</v>
      </c>
      <c r="M39" s="22">
        <v>7</v>
      </c>
      <c r="N39" s="22">
        <v>8</v>
      </c>
      <c r="O39" s="22">
        <v>11</v>
      </c>
      <c r="P39" s="22">
        <v>6</v>
      </c>
      <c r="Q39" s="20" t="s">
        <v>500</v>
      </c>
      <c r="R39" s="20" t="s">
        <v>640</v>
      </c>
    </row>
    <row r="40" spans="1:18" ht="45">
      <c r="A40" s="19">
        <v>40</v>
      </c>
      <c r="B40" s="19" t="s">
        <v>139</v>
      </c>
      <c r="C40" s="20" t="s">
        <v>140</v>
      </c>
      <c r="D40" s="20" t="s">
        <v>141</v>
      </c>
      <c r="E40" s="20" t="s">
        <v>142</v>
      </c>
      <c r="F40" s="19" t="s">
        <v>24</v>
      </c>
      <c r="G40" s="19" t="s">
        <v>25</v>
      </c>
      <c r="H40" s="19" t="s">
        <v>18</v>
      </c>
      <c r="I40" s="21">
        <f>'Feature Inventory'!J40/8</f>
        <v>14</v>
      </c>
      <c r="J40" s="21">
        <f>'Feature Inventory'!L40/8</f>
        <v>10</v>
      </c>
      <c r="K40" s="22" t="s">
        <v>645</v>
      </c>
      <c r="L40" s="22" t="s">
        <v>562</v>
      </c>
      <c r="M40" s="22">
        <v>14</v>
      </c>
      <c r="N40" s="22">
        <v>17</v>
      </c>
      <c r="O40" s="22">
        <v>22</v>
      </c>
      <c r="P40" s="22">
        <v>13</v>
      </c>
      <c r="Q40" s="20" t="s">
        <v>646</v>
      </c>
      <c r="R40" s="20" t="s">
        <v>647</v>
      </c>
    </row>
    <row r="41" spans="1:18" ht="45">
      <c r="A41" s="19">
        <v>41</v>
      </c>
      <c r="B41" s="19" t="s">
        <v>144</v>
      </c>
      <c r="C41" s="20" t="s">
        <v>140</v>
      </c>
      <c r="D41" s="20" t="s">
        <v>141</v>
      </c>
      <c r="E41" s="20" t="s">
        <v>145</v>
      </c>
      <c r="F41" s="19" t="s">
        <v>24</v>
      </c>
      <c r="G41" s="19" t="s">
        <v>25</v>
      </c>
      <c r="H41" s="19" t="s">
        <v>26</v>
      </c>
      <c r="I41" s="21">
        <f>'Feature Inventory'!J41/8</f>
        <v>6</v>
      </c>
      <c r="J41" s="21">
        <f>'Feature Inventory'!L41/8</f>
        <v>4</v>
      </c>
      <c r="K41" s="22" t="s">
        <v>645</v>
      </c>
      <c r="L41" s="22" t="s">
        <v>562</v>
      </c>
      <c r="M41" s="22">
        <v>6</v>
      </c>
      <c r="N41" s="22">
        <v>7</v>
      </c>
      <c r="O41" s="22">
        <v>10</v>
      </c>
      <c r="P41" s="22">
        <v>5</v>
      </c>
      <c r="Q41" s="20" t="s">
        <v>646</v>
      </c>
      <c r="R41" s="20" t="s">
        <v>647</v>
      </c>
    </row>
    <row r="42" spans="1:18" ht="45">
      <c r="A42" s="19">
        <v>42</v>
      </c>
      <c r="B42" s="19" t="s">
        <v>147</v>
      </c>
      <c r="C42" s="20" t="s">
        <v>140</v>
      </c>
      <c r="D42" s="20" t="s">
        <v>141</v>
      </c>
      <c r="E42" s="20" t="s">
        <v>148</v>
      </c>
      <c r="F42" s="19" t="s">
        <v>24</v>
      </c>
      <c r="G42" s="19" t="s">
        <v>25</v>
      </c>
      <c r="H42" s="19" t="s">
        <v>26</v>
      </c>
      <c r="I42" s="21">
        <f>'Feature Inventory'!J42/8</f>
        <v>6</v>
      </c>
      <c r="J42" s="21">
        <f>'Feature Inventory'!L42/8</f>
        <v>4</v>
      </c>
      <c r="K42" s="22" t="s">
        <v>645</v>
      </c>
      <c r="L42" s="22" t="s">
        <v>562</v>
      </c>
      <c r="M42" s="22">
        <v>6</v>
      </c>
      <c r="N42" s="22">
        <v>7</v>
      </c>
      <c r="O42" s="22">
        <v>10</v>
      </c>
      <c r="P42" s="22">
        <v>5</v>
      </c>
      <c r="Q42" s="20" t="s">
        <v>646</v>
      </c>
      <c r="R42" s="20" t="s">
        <v>647</v>
      </c>
    </row>
    <row r="43" spans="1:18" ht="45">
      <c r="A43" s="19">
        <v>43</v>
      </c>
      <c r="B43" s="19" t="s">
        <v>150</v>
      </c>
      <c r="C43" s="20" t="s">
        <v>140</v>
      </c>
      <c r="D43" s="20" t="s">
        <v>141</v>
      </c>
      <c r="E43" s="20" t="s">
        <v>151</v>
      </c>
      <c r="F43" s="19" t="s">
        <v>24</v>
      </c>
      <c r="G43" s="19" t="s">
        <v>25</v>
      </c>
      <c r="H43" s="19" t="s">
        <v>18</v>
      </c>
      <c r="I43" s="21">
        <f>'Feature Inventory'!J43/8</f>
        <v>8</v>
      </c>
      <c r="J43" s="21">
        <f>'Feature Inventory'!L43/8</f>
        <v>5</v>
      </c>
      <c r="K43" s="22" t="s">
        <v>645</v>
      </c>
      <c r="L43" s="22" t="s">
        <v>562</v>
      </c>
      <c r="M43" s="22">
        <v>8</v>
      </c>
      <c r="N43" s="22">
        <v>10</v>
      </c>
      <c r="O43" s="22">
        <v>13</v>
      </c>
      <c r="P43" s="22">
        <v>8</v>
      </c>
      <c r="Q43" s="20" t="s">
        <v>646</v>
      </c>
      <c r="R43" s="20" t="s">
        <v>647</v>
      </c>
    </row>
    <row r="44" spans="1:18" ht="45">
      <c r="A44" s="19">
        <v>44</v>
      </c>
      <c r="B44" s="19" t="s">
        <v>153</v>
      </c>
      <c r="C44" s="20" t="s">
        <v>154</v>
      </c>
      <c r="D44" s="20" t="s">
        <v>155</v>
      </c>
      <c r="E44" s="20" t="s">
        <v>156</v>
      </c>
      <c r="F44" s="19" t="s">
        <v>158</v>
      </c>
      <c r="G44" s="19" t="s">
        <v>46</v>
      </c>
      <c r="H44" s="19" t="s">
        <v>26</v>
      </c>
      <c r="I44" s="21">
        <f>'Feature Inventory'!J44/8</f>
        <v>7</v>
      </c>
      <c r="J44" s="21">
        <f>'Feature Inventory'!L44/8</f>
        <v>5</v>
      </c>
      <c r="K44" s="22" t="s">
        <v>639</v>
      </c>
      <c r="L44" s="22" t="s">
        <v>561</v>
      </c>
      <c r="M44" s="22">
        <v>6</v>
      </c>
      <c r="N44" s="22">
        <v>8</v>
      </c>
      <c r="O44" s="22">
        <v>10</v>
      </c>
      <c r="P44" s="22">
        <v>6</v>
      </c>
      <c r="Q44" s="20" t="s">
        <v>500</v>
      </c>
      <c r="R44" s="20" t="s">
        <v>640</v>
      </c>
    </row>
    <row r="45" spans="1:18" ht="45">
      <c r="A45" s="19">
        <v>45</v>
      </c>
      <c r="B45" s="19" t="s">
        <v>159</v>
      </c>
      <c r="C45" s="20" t="s">
        <v>154</v>
      </c>
      <c r="D45" s="20" t="s">
        <v>155</v>
      </c>
      <c r="E45" s="20" t="s">
        <v>160</v>
      </c>
      <c r="F45" s="19" t="s">
        <v>158</v>
      </c>
      <c r="G45" s="19" t="s">
        <v>25</v>
      </c>
      <c r="H45" s="19" t="s">
        <v>26</v>
      </c>
      <c r="I45" s="21">
        <f>'Feature Inventory'!J45/8</f>
        <v>5</v>
      </c>
      <c r="J45" s="21">
        <f>'Feature Inventory'!L45/8</f>
        <v>3</v>
      </c>
      <c r="K45" s="22" t="s">
        <v>641</v>
      </c>
      <c r="L45" s="22" t="s">
        <v>560</v>
      </c>
      <c r="M45" s="22">
        <v>6</v>
      </c>
      <c r="N45" s="22">
        <v>8</v>
      </c>
      <c r="O45" s="22">
        <v>10</v>
      </c>
      <c r="P45" s="22">
        <v>6</v>
      </c>
      <c r="Q45" s="20" t="s">
        <v>500</v>
      </c>
      <c r="R45" s="20" t="s">
        <v>642</v>
      </c>
    </row>
    <row r="46" spans="1:18" ht="45">
      <c r="A46" s="19">
        <v>46</v>
      </c>
      <c r="B46" s="19" t="s">
        <v>162</v>
      </c>
      <c r="C46" s="20" t="s">
        <v>154</v>
      </c>
      <c r="D46" s="20" t="s">
        <v>155</v>
      </c>
      <c r="E46" s="20" t="s">
        <v>163</v>
      </c>
      <c r="F46" s="19" t="s">
        <v>158</v>
      </c>
      <c r="G46" s="19" t="s">
        <v>25</v>
      </c>
      <c r="H46" s="19" t="s">
        <v>18</v>
      </c>
      <c r="I46" s="21">
        <f>'Feature Inventory'!J46/8</f>
        <v>22</v>
      </c>
      <c r="J46" s="21">
        <f>'Feature Inventory'!L46/8</f>
        <v>15</v>
      </c>
      <c r="K46" s="22" t="s">
        <v>651</v>
      </c>
      <c r="L46" s="22" t="s">
        <v>560</v>
      </c>
      <c r="M46" s="22">
        <v>34</v>
      </c>
      <c r="N46" s="22">
        <v>45</v>
      </c>
      <c r="O46" s="22">
        <v>60</v>
      </c>
      <c r="P46" s="22">
        <v>37</v>
      </c>
      <c r="Q46" s="20" t="s">
        <v>500</v>
      </c>
      <c r="R46" s="20" t="s">
        <v>642</v>
      </c>
    </row>
    <row r="47" spans="1:18" ht="45">
      <c r="A47" s="19">
        <v>47</v>
      </c>
      <c r="B47" s="19" t="s">
        <v>165</v>
      </c>
      <c r="C47" s="20" t="s">
        <v>154</v>
      </c>
      <c r="D47" s="20" t="s">
        <v>155</v>
      </c>
      <c r="E47" s="20" t="s">
        <v>166</v>
      </c>
      <c r="F47" s="19" t="s">
        <v>158</v>
      </c>
      <c r="G47" s="19" t="s">
        <v>25</v>
      </c>
      <c r="H47" s="19" t="s">
        <v>26</v>
      </c>
      <c r="I47" s="21">
        <f>'Feature Inventory'!J47/8</f>
        <v>3</v>
      </c>
      <c r="J47" s="21">
        <f>'Feature Inventory'!L47/8</f>
        <v>2</v>
      </c>
      <c r="K47" s="22" t="s">
        <v>649</v>
      </c>
      <c r="L47" s="22" t="s">
        <v>561</v>
      </c>
      <c r="M47" s="22">
        <v>3</v>
      </c>
      <c r="N47" s="22">
        <v>4</v>
      </c>
      <c r="O47" s="22">
        <v>5</v>
      </c>
      <c r="P47" s="22">
        <v>3</v>
      </c>
      <c r="Q47" s="20" t="s">
        <v>500</v>
      </c>
      <c r="R47" s="20" t="s">
        <v>640</v>
      </c>
    </row>
    <row r="48" spans="1:18" ht="45">
      <c r="A48" s="19">
        <v>48</v>
      </c>
      <c r="B48" s="19" t="s">
        <v>168</v>
      </c>
      <c r="C48" s="20" t="s">
        <v>154</v>
      </c>
      <c r="D48" s="20" t="s">
        <v>169</v>
      </c>
      <c r="E48" s="20" t="s">
        <v>170</v>
      </c>
      <c r="F48" s="19" t="s">
        <v>158</v>
      </c>
      <c r="G48" s="19" t="s">
        <v>46</v>
      </c>
      <c r="H48" s="19" t="s">
        <v>15</v>
      </c>
      <c r="I48" s="21">
        <f>'Feature Inventory'!J48/8</f>
        <v>4</v>
      </c>
      <c r="J48" s="21">
        <f>'Feature Inventory'!L48/8</f>
        <v>2</v>
      </c>
      <c r="K48" s="22" t="s">
        <v>648</v>
      </c>
      <c r="L48" s="22" t="s">
        <v>561</v>
      </c>
      <c r="M48" s="22">
        <v>4</v>
      </c>
      <c r="N48" s="22">
        <v>5</v>
      </c>
      <c r="O48" s="22">
        <v>6</v>
      </c>
      <c r="P48" s="22">
        <v>4</v>
      </c>
      <c r="Q48" s="20" t="s">
        <v>500</v>
      </c>
      <c r="R48" s="20" t="s">
        <v>640</v>
      </c>
    </row>
    <row r="49" spans="1:18" ht="45">
      <c r="A49" s="19">
        <v>49</v>
      </c>
      <c r="B49" s="19" t="s">
        <v>172</v>
      </c>
      <c r="C49" s="20" t="s">
        <v>154</v>
      </c>
      <c r="D49" s="20" t="s">
        <v>169</v>
      </c>
      <c r="E49" s="20" t="s">
        <v>173</v>
      </c>
      <c r="F49" s="19" t="s">
        <v>158</v>
      </c>
      <c r="G49" s="19" t="s">
        <v>25</v>
      </c>
      <c r="H49" s="19" t="s">
        <v>15</v>
      </c>
      <c r="I49" s="21">
        <f>'Feature Inventory'!J49/8</f>
        <v>4</v>
      </c>
      <c r="J49" s="21">
        <f>'Feature Inventory'!L49/8</f>
        <v>2</v>
      </c>
      <c r="K49" s="22" t="s">
        <v>648</v>
      </c>
      <c r="L49" s="22" t="s">
        <v>561</v>
      </c>
      <c r="M49" s="22">
        <v>4</v>
      </c>
      <c r="N49" s="22">
        <v>5</v>
      </c>
      <c r="O49" s="22">
        <v>6</v>
      </c>
      <c r="P49" s="22">
        <v>4</v>
      </c>
      <c r="Q49" s="20" t="s">
        <v>500</v>
      </c>
      <c r="R49" s="20" t="s">
        <v>640</v>
      </c>
    </row>
    <row r="50" spans="1:18" ht="45">
      <c r="A50" s="19">
        <v>50</v>
      </c>
      <c r="B50" s="19" t="s">
        <v>175</v>
      </c>
      <c r="C50" s="20" t="s">
        <v>154</v>
      </c>
      <c r="D50" s="20" t="s">
        <v>169</v>
      </c>
      <c r="E50" s="20" t="s">
        <v>176</v>
      </c>
      <c r="F50" s="19" t="s">
        <v>158</v>
      </c>
      <c r="G50" s="19" t="s">
        <v>25</v>
      </c>
      <c r="H50" s="19" t="s">
        <v>15</v>
      </c>
      <c r="I50" s="21">
        <f>'Feature Inventory'!J50/8</f>
        <v>4</v>
      </c>
      <c r="J50" s="21">
        <f>'Feature Inventory'!L50/8</f>
        <v>2</v>
      </c>
      <c r="K50" s="22" t="s">
        <v>649</v>
      </c>
      <c r="L50" s="22" t="s">
        <v>561</v>
      </c>
      <c r="M50" s="22">
        <v>4</v>
      </c>
      <c r="N50" s="22">
        <v>5</v>
      </c>
      <c r="O50" s="22">
        <v>6</v>
      </c>
      <c r="P50" s="22">
        <v>4</v>
      </c>
      <c r="Q50" s="20" t="s">
        <v>500</v>
      </c>
      <c r="R50" s="20" t="s">
        <v>640</v>
      </c>
    </row>
    <row r="51" spans="1:18" ht="45">
      <c r="A51" s="19">
        <v>51</v>
      </c>
      <c r="B51" s="19" t="s">
        <v>178</v>
      </c>
      <c r="C51" s="20" t="s">
        <v>154</v>
      </c>
      <c r="D51" s="20" t="s">
        <v>169</v>
      </c>
      <c r="E51" s="20" t="s">
        <v>179</v>
      </c>
      <c r="F51" s="19" t="s">
        <v>158</v>
      </c>
      <c r="G51" s="19" t="s">
        <v>46</v>
      </c>
      <c r="H51" s="19" t="s">
        <v>26</v>
      </c>
      <c r="I51" s="21">
        <f>'Feature Inventory'!J51/8</f>
        <v>4</v>
      </c>
      <c r="J51" s="21">
        <f>'Feature Inventory'!L51/8</f>
        <v>3</v>
      </c>
      <c r="K51" s="22" t="s">
        <v>648</v>
      </c>
      <c r="L51" s="22" t="s">
        <v>561</v>
      </c>
      <c r="M51" s="22">
        <v>4</v>
      </c>
      <c r="N51" s="22">
        <v>5</v>
      </c>
      <c r="O51" s="22">
        <v>6</v>
      </c>
      <c r="P51" s="22">
        <v>4</v>
      </c>
      <c r="Q51" s="20" t="s">
        <v>500</v>
      </c>
      <c r="R51" s="20" t="s">
        <v>640</v>
      </c>
    </row>
    <row r="52" spans="1:18" ht="45">
      <c r="A52" s="19">
        <v>52</v>
      </c>
      <c r="B52" s="19" t="s">
        <v>181</v>
      </c>
      <c r="C52" s="20" t="s">
        <v>154</v>
      </c>
      <c r="D52" s="20" t="s">
        <v>182</v>
      </c>
      <c r="E52" s="20" t="s">
        <v>183</v>
      </c>
      <c r="F52" s="19" t="s">
        <v>158</v>
      </c>
      <c r="G52" s="19" t="s">
        <v>25</v>
      </c>
      <c r="H52" s="19" t="s">
        <v>18</v>
      </c>
      <c r="I52" s="21">
        <f>'Feature Inventory'!J52/8</f>
        <v>10</v>
      </c>
      <c r="J52" s="21">
        <f>'Feature Inventory'!L52/8</f>
        <v>7</v>
      </c>
      <c r="K52" s="22" t="s">
        <v>648</v>
      </c>
      <c r="L52" s="22" t="s">
        <v>561</v>
      </c>
      <c r="M52" s="22">
        <v>10</v>
      </c>
      <c r="N52" s="22">
        <v>12</v>
      </c>
      <c r="O52" s="22">
        <v>16</v>
      </c>
      <c r="P52" s="22">
        <v>9</v>
      </c>
      <c r="Q52" s="20" t="s">
        <v>500</v>
      </c>
      <c r="R52" s="20" t="s">
        <v>640</v>
      </c>
    </row>
    <row r="53" spans="1:18" ht="45">
      <c r="A53" s="19">
        <v>53</v>
      </c>
      <c r="B53" s="19" t="s">
        <v>185</v>
      </c>
      <c r="C53" s="20" t="s">
        <v>154</v>
      </c>
      <c r="D53" s="20" t="s">
        <v>182</v>
      </c>
      <c r="E53" s="20" t="s">
        <v>186</v>
      </c>
      <c r="F53" s="19" t="s">
        <v>158</v>
      </c>
      <c r="G53" s="19" t="s">
        <v>46</v>
      </c>
      <c r="H53" s="19" t="s">
        <v>26</v>
      </c>
      <c r="I53" s="21">
        <f>'Feature Inventory'!J53/8</f>
        <v>6</v>
      </c>
      <c r="J53" s="21">
        <f>'Feature Inventory'!L53/8</f>
        <v>4</v>
      </c>
      <c r="K53" s="22" t="s">
        <v>648</v>
      </c>
      <c r="L53" s="22" t="s">
        <v>561</v>
      </c>
      <c r="M53" s="22">
        <v>6</v>
      </c>
      <c r="N53" s="22">
        <v>8</v>
      </c>
      <c r="O53" s="22">
        <v>10</v>
      </c>
      <c r="P53" s="22">
        <v>6</v>
      </c>
      <c r="Q53" s="20" t="s">
        <v>500</v>
      </c>
      <c r="R53" s="20" t="s">
        <v>640</v>
      </c>
    </row>
    <row r="54" spans="1:18" ht="45">
      <c r="A54" s="19">
        <v>54</v>
      </c>
      <c r="B54" s="19" t="s">
        <v>188</v>
      </c>
      <c r="C54" s="20" t="s">
        <v>154</v>
      </c>
      <c r="D54" s="20" t="s">
        <v>182</v>
      </c>
      <c r="E54" s="20" t="s">
        <v>189</v>
      </c>
      <c r="F54" s="19" t="s">
        <v>158</v>
      </c>
      <c r="G54" s="19" t="s">
        <v>46</v>
      </c>
      <c r="H54" s="19" t="s">
        <v>26</v>
      </c>
      <c r="I54" s="21">
        <f>'Feature Inventory'!J54/8</f>
        <v>6</v>
      </c>
      <c r="J54" s="21">
        <f>'Feature Inventory'!L54/8</f>
        <v>4</v>
      </c>
      <c r="K54" s="22" t="s">
        <v>648</v>
      </c>
      <c r="L54" s="22" t="s">
        <v>561</v>
      </c>
      <c r="M54" s="22">
        <v>6</v>
      </c>
      <c r="N54" s="22">
        <v>8</v>
      </c>
      <c r="O54" s="22">
        <v>10</v>
      </c>
      <c r="P54" s="22">
        <v>6</v>
      </c>
      <c r="Q54" s="20" t="s">
        <v>500</v>
      </c>
      <c r="R54" s="20" t="s">
        <v>640</v>
      </c>
    </row>
    <row r="55" spans="1:18" ht="45">
      <c r="A55" s="19">
        <v>55</v>
      </c>
      <c r="B55" s="19" t="s">
        <v>191</v>
      </c>
      <c r="C55" s="20" t="s">
        <v>154</v>
      </c>
      <c r="D55" s="20" t="s">
        <v>182</v>
      </c>
      <c r="E55" s="20" t="s">
        <v>192</v>
      </c>
      <c r="F55" s="19" t="s">
        <v>158</v>
      </c>
      <c r="G55" s="19" t="s">
        <v>46</v>
      </c>
      <c r="H55" s="19" t="s">
        <v>26</v>
      </c>
      <c r="I55" s="21">
        <f>'Feature Inventory'!J55/8</f>
        <v>6</v>
      </c>
      <c r="J55" s="21">
        <f>'Feature Inventory'!L55/8</f>
        <v>4</v>
      </c>
      <c r="K55" s="22" t="s">
        <v>648</v>
      </c>
      <c r="L55" s="22" t="s">
        <v>561</v>
      </c>
      <c r="M55" s="22">
        <v>6</v>
      </c>
      <c r="N55" s="22">
        <v>8</v>
      </c>
      <c r="O55" s="22">
        <v>10</v>
      </c>
      <c r="P55" s="22">
        <v>6</v>
      </c>
      <c r="Q55" s="20" t="s">
        <v>500</v>
      </c>
      <c r="R55" s="20" t="s">
        <v>640</v>
      </c>
    </row>
    <row r="56" spans="1:18" ht="45">
      <c r="A56" s="19">
        <v>56</v>
      </c>
      <c r="B56" s="19" t="s">
        <v>194</v>
      </c>
      <c r="C56" s="20" t="s">
        <v>154</v>
      </c>
      <c r="D56" s="20" t="s">
        <v>182</v>
      </c>
      <c r="E56" s="20" t="s">
        <v>195</v>
      </c>
      <c r="F56" s="19" t="s">
        <v>158</v>
      </c>
      <c r="G56" s="19" t="s">
        <v>25</v>
      </c>
      <c r="H56" s="19" t="s">
        <v>26</v>
      </c>
      <c r="I56" s="21">
        <f>'Feature Inventory'!J56/8</f>
        <v>7</v>
      </c>
      <c r="J56" s="21">
        <f>'Feature Inventory'!L56/8</f>
        <v>5</v>
      </c>
      <c r="K56" s="22" t="s">
        <v>648</v>
      </c>
      <c r="L56" s="22" t="s">
        <v>561</v>
      </c>
      <c r="M56" s="22">
        <v>7</v>
      </c>
      <c r="N56" s="22">
        <v>9</v>
      </c>
      <c r="O56" s="22">
        <v>11</v>
      </c>
      <c r="P56" s="22">
        <v>7</v>
      </c>
      <c r="Q56" s="20" t="s">
        <v>500</v>
      </c>
      <c r="R56" s="20" t="s">
        <v>640</v>
      </c>
    </row>
    <row r="57" spans="1:18" ht="45">
      <c r="A57" s="19">
        <v>57</v>
      </c>
      <c r="B57" s="19" t="s">
        <v>197</v>
      </c>
      <c r="C57" s="20" t="s">
        <v>154</v>
      </c>
      <c r="D57" s="20" t="s">
        <v>182</v>
      </c>
      <c r="E57" s="20" t="s">
        <v>198</v>
      </c>
      <c r="F57" s="19" t="s">
        <v>128</v>
      </c>
      <c r="G57" s="19" t="s">
        <v>132</v>
      </c>
      <c r="H57" s="19" t="s">
        <v>18</v>
      </c>
      <c r="I57" s="21">
        <f>'Feature Inventory'!J57/8</f>
        <v>20</v>
      </c>
      <c r="J57" s="21">
        <f>'Feature Inventory'!L57/8</f>
        <v>14</v>
      </c>
      <c r="K57" s="22" t="s">
        <v>651</v>
      </c>
      <c r="L57" s="22" t="s">
        <v>560</v>
      </c>
      <c r="M57" s="22">
        <v>28</v>
      </c>
      <c r="N57" s="22">
        <v>36</v>
      </c>
      <c r="O57" s="22">
        <v>48</v>
      </c>
      <c r="P57" s="22">
        <v>30</v>
      </c>
      <c r="Q57" s="20" t="s">
        <v>500</v>
      </c>
      <c r="R57" s="20" t="s">
        <v>642</v>
      </c>
    </row>
    <row r="58" spans="1:18" ht="45">
      <c r="A58" s="19">
        <v>58</v>
      </c>
      <c r="B58" s="19" t="s">
        <v>200</v>
      </c>
      <c r="C58" s="20" t="s">
        <v>154</v>
      </c>
      <c r="D58" s="20" t="s">
        <v>201</v>
      </c>
      <c r="E58" s="20" t="s">
        <v>202</v>
      </c>
      <c r="F58" s="19" t="s">
        <v>158</v>
      </c>
      <c r="G58" s="19" t="s">
        <v>25</v>
      </c>
      <c r="H58" s="19" t="s">
        <v>26</v>
      </c>
      <c r="I58" s="21">
        <f>'Feature Inventory'!J58/8</f>
        <v>5</v>
      </c>
      <c r="J58" s="21">
        <f>'Feature Inventory'!L58/8</f>
        <v>3</v>
      </c>
      <c r="K58" s="22" t="s">
        <v>648</v>
      </c>
      <c r="L58" s="22" t="s">
        <v>561</v>
      </c>
      <c r="M58" s="22">
        <v>5</v>
      </c>
      <c r="N58" s="22">
        <v>6</v>
      </c>
      <c r="O58" s="22">
        <v>8</v>
      </c>
      <c r="P58" s="22">
        <v>5</v>
      </c>
      <c r="Q58" s="20" t="s">
        <v>500</v>
      </c>
      <c r="R58" s="20" t="s">
        <v>640</v>
      </c>
    </row>
    <row r="59" spans="1:18" ht="45">
      <c r="A59" s="19">
        <v>59</v>
      </c>
      <c r="B59" s="19" t="s">
        <v>204</v>
      </c>
      <c r="C59" s="20" t="s">
        <v>154</v>
      </c>
      <c r="D59" s="20" t="s">
        <v>201</v>
      </c>
      <c r="E59" s="20" t="s">
        <v>205</v>
      </c>
      <c r="F59" s="19" t="s">
        <v>158</v>
      </c>
      <c r="G59" s="19" t="s">
        <v>25</v>
      </c>
      <c r="H59" s="19" t="s">
        <v>26</v>
      </c>
      <c r="I59" s="21">
        <f>'Feature Inventory'!J59/8</f>
        <v>7</v>
      </c>
      <c r="J59" s="21">
        <f>'Feature Inventory'!L59/8</f>
        <v>5</v>
      </c>
      <c r="K59" s="22" t="s">
        <v>648</v>
      </c>
      <c r="L59" s="22" t="s">
        <v>561</v>
      </c>
      <c r="M59" s="22">
        <v>7</v>
      </c>
      <c r="N59" s="22">
        <v>9</v>
      </c>
      <c r="O59" s="22">
        <v>11</v>
      </c>
      <c r="P59" s="22">
        <v>7</v>
      </c>
      <c r="Q59" s="20" t="s">
        <v>500</v>
      </c>
      <c r="R59" s="20" t="s">
        <v>640</v>
      </c>
    </row>
    <row r="60" spans="1:18" ht="45">
      <c r="A60" s="19">
        <v>60</v>
      </c>
      <c r="B60" s="19" t="s">
        <v>207</v>
      </c>
      <c r="C60" s="20" t="s">
        <v>154</v>
      </c>
      <c r="D60" s="20" t="s">
        <v>201</v>
      </c>
      <c r="E60" s="20" t="s">
        <v>208</v>
      </c>
      <c r="F60" s="19" t="s">
        <v>158</v>
      </c>
      <c r="G60" s="19" t="s">
        <v>25</v>
      </c>
      <c r="H60" s="19" t="s">
        <v>26</v>
      </c>
      <c r="I60" s="21">
        <f>'Feature Inventory'!J60/8</f>
        <v>4</v>
      </c>
      <c r="J60" s="21">
        <f>'Feature Inventory'!L60/8</f>
        <v>2</v>
      </c>
      <c r="K60" s="22" t="s">
        <v>641</v>
      </c>
      <c r="L60" s="22" t="s">
        <v>560</v>
      </c>
      <c r="M60" s="22">
        <v>5</v>
      </c>
      <c r="N60" s="22">
        <v>6</v>
      </c>
      <c r="O60" s="22">
        <v>8</v>
      </c>
      <c r="P60" s="22">
        <v>5</v>
      </c>
      <c r="Q60" s="20" t="s">
        <v>500</v>
      </c>
      <c r="R60" s="20" t="s">
        <v>642</v>
      </c>
    </row>
    <row r="61" spans="1:18" ht="45">
      <c r="A61" s="19">
        <v>61</v>
      </c>
      <c r="B61" s="19" t="s">
        <v>210</v>
      </c>
      <c r="C61" s="20" t="s">
        <v>154</v>
      </c>
      <c r="D61" s="20" t="s">
        <v>201</v>
      </c>
      <c r="E61" s="20" t="s">
        <v>211</v>
      </c>
      <c r="F61" s="19" t="s">
        <v>158</v>
      </c>
      <c r="G61" s="19" t="s">
        <v>46</v>
      </c>
      <c r="H61" s="19" t="s">
        <v>26</v>
      </c>
      <c r="I61" s="21">
        <f>'Feature Inventory'!J61/8</f>
        <v>6</v>
      </c>
      <c r="J61" s="21">
        <f>'Feature Inventory'!L61/8</f>
        <v>4</v>
      </c>
      <c r="K61" s="22" t="s">
        <v>649</v>
      </c>
      <c r="L61" s="22" t="s">
        <v>561</v>
      </c>
      <c r="M61" s="22">
        <v>5</v>
      </c>
      <c r="N61" s="22">
        <v>7</v>
      </c>
      <c r="O61" s="22">
        <v>10</v>
      </c>
      <c r="P61" s="22">
        <v>6</v>
      </c>
      <c r="Q61" s="20" t="s">
        <v>500</v>
      </c>
      <c r="R61" s="20" t="s">
        <v>640</v>
      </c>
    </row>
    <row r="62" spans="1:18" ht="45">
      <c r="A62" s="19">
        <v>62</v>
      </c>
      <c r="B62" s="19" t="s">
        <v>213</v>
      </c>
      <c r="C62" s="20" t="s">
        <v>154</v>
      </c>
      <c r="D62" s="20" t="s">
        <v>201</v>
      </c>
      <c r="E62" s="20" t="s">
        <v>214</v>
      </c>
      <c r="F62" s="19" t="s">
        <v>158</v>
      </c>
      <c r="G62" s="19" t="s">
        <v>25</v>
      </c>
      <c r="H62" s="19" t="s">
        <v>18</v>
      </c>
      <c r="I62" s="21">
        <f>'Feature Inventory'!J62/8</f>
        <v>6</v>
      </c>
      <c r="J62" s="21">
        <f>'Feature Inventory'!L62/8</f>
        <v>4</v>
      </c>
      <c r="K62" s="22" t="s">
        <v>648</v>
      </c>
      <c r="L62" s="22" t="s">
        <v>561</v>
      </c>
      <c r="M62" s="22">
        <v>6</v>
      </c>
      <c r="N62" s="22">
        <v>8</v>
      </c>
      <c r="O62" s="22">
        <v>10</v>
      </c>
      <c r="P62" s="22">
        <v>6</v>
      </c>
      <c r="Q62" s="20" t="s">
        <v>500</v>
      </c>
      <c r="R62" s="20" t="s">
        <v>640</v>
      </c>
    </row>
    <row r="63" spans="1:18" ht="45">
      <c r="A63" s="19">
        <v>63</v>
      </c>
      <c r="B63" s="19" t="s">
        <v>216</v>
      </c>
      <c r="C63" s="20" t="s">
        <v>154</v>
      </c>
      <c r="D63" s="20" t="s">
        <v>217</v>
      </c>
      <c r="E63" s="20" t="s">
        <v>218</v>
      </c>
      <c r="F63" s="19" t="s">
        <v>158</v>
      </c>
      <c r="G63" s="19" t="s">
        <v>25</v>
      </c>
      <c r="H63" s="19" t="s">
        <v>26</v>
      </c>
      <c r="I63" s="21">
        <f>'Feature Inventory'!J63/8</f>
        <v>5</v>
      </c>
      <c r="J63" s="21">
        <f>'Feature Inventory'!L63/8</f>
        <v>3</v>
      </c>
      <c r="K63" s="22" t="s">
        <v>649</v>
      </c>
      <c r="L63" s="22" t="s">
        <v>561</v>
      </c>
      <c r="M63" s="22">
        <v>4</v>
      </c>
      <c r="N63" s="22">
        <v>6</v>
      </c>
      <c r="O63" s="22">
        <v>8</v>
      </c>
      <c r="P63" s="22">
        <v>5</v>
      </c>
      <c r="Q63" s="20" t="s">
        <v>500</v>
      </c>
      <c r="R63" s="20" t="s">
        <v>640</v>
      </c>
    </row>
    <row r="64" spans="1:18" ht="45">
      <c r="A64" s="19">
        <v>64</v>
      </c>
      <c r="B64" s="19" t="s">
        <v>220</v>
      </c>
      <c r="C64" s="20" t="s">
        <v>154</v>
      </c>
      <c r="D64" s="20" t="s">
        <v>217</v>
      </c>
      <c r="E64" s="20" t="s">
        <v>221</v>
      </c>
      <c r="F64" s="19" t="s">
        <v>158</v>
      </c>
      <c r="G64" s="19" t="s">
        <v>25</v>
      </c>
      <c r="H64" s="19" t="s">
        <v>26</v>
      </c>
      <c r="I64" s="21">
        <f>'Feature Inventory'!J64/8</f>
        <v>5</v>
      </c>
      <c r="J64" s="21">
        <f>'Feature Inventory'!L64/8</f>
        <v>3</v>
      </c>
      <c r="K64" s="22" t="s">
        <v>649</v>
      </c>
      <c r="L64" s="22" t="s">
        <v>561</v>
      </c>
      <c r="M64" s="22">
        <v>4</v>
      </c>
      <c r="N64" s="22">
        <v>6</v>
      </c>
      <c r="O64" s="22">
        <v>8</v>
      </c>
      <c r="P64" s="22">
        <v>5</v>
      </c>
      <c r="Q64" s="20" t="s">
        <v>500</v>
      </c>
      <c r="R64" s="20" t="s">
        <v>640</v>
      </c>
    </row>
    <row r="65" spans="1:18" ht="45">
      <c r="A65" s="19">
        <v>65</v>
      </c>
      <c r="B65" s="19" t="s">
        <v>223</v>
      </c>
      <c r="C65" s="20" t="s">
        <v>154</v>
      </c>
      <c r="D65" s="20" t="s">
        <v>217</v>
      </c>
      <c r="E65" s="20" t="s">
        <v>224</v>
      </c>
      <c r="F65" s="19" t="s">
        <v>158</v>
      </c>
      <c r="G65" s="19" t="s">
        <v>25</v>
      </c>
      <c r="H65" s="19" t="s">
        <v>18</v>
      </c>
      <c r="I65" s="21">
        <f>'Feature Inventory'!J65/8</f>
        <v>6</v>
      </c>
      <c r="J65" s="21">
        <f>'Feature Inventory'!L65/8</f>
        <v>4</v>
      </c>
      <c r="K65" s="22" t="s">
        <v>649</v>
      </c>
      <c r="L65" s="22" t="s">
        <v>561</v>
      </c>
      <c r="M65" s="22">
        <v>5</v>
      </c>
      <c r="N65" s="22">
        <v>7</v>
      </c>
      <c r="O65" s="22">
        <v>10</v>
      </c>
      <c r="P65" s="22">
        <v>6</v>
      </c>
      <c r="Q65" s="20" t="s">
        <v>500</v>
      </c>
      <c r="R65" s="20" t="s">
        <v>640</v>
      </c>
    </row>
    <row r="66" spans="1:18" ht="45">
      <c r="A66" s="19">
        <v>66</v>
      </c>
      <c r="B66" s="19" t="s">
        <v>226</v>
      </c>
      <c r="C66" s="20" t="s">
        <v>154</v>
      </c>
      <c r="D66" s="20" t="s">
        <v>217</v>
      </c>
      <c r="E66" s="20" t="s">
        <v>227</v>
      </c>
      <c r="F66" s="19" t="s">
        <v>158</v>
      </c>
      <c r="G66" s="19" t="s">
        <v>25</v>
      </c>
      <c r="H66" s="19" t="s">
        <v>26</v>
      </c>
      <c r="I66" s="21">
        <f>'Feature Inventory'!J66/8</f>
        <v>5</v>
      </c>
      <c r="J66" s="21">
        <f>'Feature Inventory'!L66/8</f>
        <v>3</v>
      </c>
      <c r="K66" s="22" t="s">
        <v>649</v>
      </c>
      <c r="L66" s="22" t="s">
        <v>561</v>
      </c>
      <c r="M66" s="22">
        <v>4</v>
      </c>
      <c r="N66" s="22">
        <v>6</v>
      </c>
      <c r="O66" s="22">
        <v>8</v>
      </c>
      <c r="P66" s="22">
        <v>5</v>
      </c>
      <c r="Q66" s="20" t="s">
        <v>500</v>
      </c>
      <c r="R66" s="20" t="s">
        <v>640</v>
      </c>
    </row>
    <row r="67" spans="1:18" ht="45">
      <c r="A67" s="19">
        <v>67</v>
      </c>
      <c r="B67" s="19" t="s">
        <v>229</v>
      </c>
      <c r="C67" s="20" t="s">
        <v>154</v>
      </c>
      <c r="D67" s="20" t="s">
        <v>217</v>
      </c>
      <c r="E67" s="20" t="s">
        <v>92</v>
      </c>
      <c r="F67" s="19" t="s">
        <v>158</v>
      </c>
      <c r="G67" s="19" t="s">
        <v>25</v>
      </c>
      <c r="H67" s="19" t="s">
        <v>26</v>
      </c>
      <c r="I67" s="21">
        <f>'Feature Inventory'!J67/8</f>
        <v>5</v>
      </c>
      <c r="J67" s="21">
        <f>'Feature Inventory'!L67/8</f>
        <v>3</v>
      </c>
      <c r="K67" s="22" t="s">
        <v>649</v>
      </c>
      <c r="L67" s="22" t="s">
        <v>561</v>
      </c>
      <c r="M67" s="22">
        <v>4</v>
      </c>
      <c r="N67" s="22">
        <v>6</v>
      </c>
      <c r="O67" s="22">
        <v>8</v>
      </c>
      <c r="P67" s="22">
        <v>5</v>
      </c>
      <c r="Q67" s="20" t="s">
        <v>500</v>
      </c>
      <c r="R67" s="20" t="s">
        <v>640</v>
      </c>
    </row>
    <row r="68" spans="1:18" ht="45">
      <c r="A68" s="19">
        <v>68</v>
      </c>
      <c r="B68" s="19" t="s">
        <v>231</v>
      </c>
      <c r="C68" s="20" t="s">
        <v>154</v>
      </c>
      <c r="D68" s="20" t="s">
        <v>217</v>
      </c>
      <c r="E68" s="20" t="s">
        <v>95</v>
      </c>
      <c r="F68" s="19" t="s">
        <v>158</v>
      </c>
      <c r="G68" s="19" t="s">
        <v>25</v>
      </c>
      <c r="H68" s="19" t="s">
        <v>26</v>
      </c>
      <c r="I68" s="21">
        <f>'Feature Inventory'!J68/8</f>
        <v>5</v>
      </c>
      <c r="J68" s="21">
        <f>'Feature Inventory'!L68/8</f>
        <v>3</v>
      </c>
      <c r="K68" s="22" t="s">
        <v>649</v>
      </c>
      <c r="L68" s="22" t="s">
        <v>561</v>
      </c>
      <c r="M68" s="22">
        <v>4</v>
      </c>
      <c r="N68" s="22">
        <v>6</v>
      </c>
      <c r="O68" s="22">
        <v>8</v>
      </c>
      <c r="P68" s="22">
        <v>5</v>
      </c>
      <c r="Q68" s="20" t="s">
        <v>500</v>
      </c>
      <c r="R68" s="20" t="s">
        <v>640</v>
      </c>
    </row>
    <row r="69" spans="1:18" ht="45">
      <c r="A69" s="19">
        <v>69</v>
      </c>
      <c r="B69" s="19" t="s">
        <v>233</v>
      </c>
      <c r="C69" s="20" t="s">
        <v>154</v>
      </c>
      <c r="D69" s="20" t="s">
        <v>217</v>
      </c>
      <c r="E69" s="20" t="s">
        <v>234</v>
      </c>
      <c r="F69" s="19" t="s">
        <v>158</v>
      </c>
      <c r="G69" s="19" t="s">
        <v>46</v>
      </c>
      <c r="H69" s="19" t="s">
        <v>18</v>
      </c>
      <c r="I69" s="21">
        <f>'Feature Inventory'!J69/8</f>
        <v>12</v>
      </c>
      <c r="J69" s="21">
        <f>'Feature Inventory'!L69/8</f>
        <v>10</v>
      </c>
      <c r="K69" s="22" t="s">
        <v>649</v>
      </c>
      <c r="L69" s="22" t="s">
        <v>560</v>
      </c>
      <c r="M69" s="22">
        <v>18</v>
      </c>
      <c r="N69" s="22">
        <v>22</v>
      </c>
      <c r="O69" s="22">
        <v>30</v>
      </c>
      <c r="P69" s="22">
        <v>18</v>
      </c>
      <c r="Q69" s="20" t="s">
        <v>500</v>
      </c>
      <c r="R69" s="20" t="s">
        <v>642</v>
      </c>
    </row>
    <row r="70" spans="1:18" ht="45">
      <c r="A70" s="19">
        <v>70</v>
      </c>
      <c r="B70" s="19" t="s">
        <v>236</v>
      </c>
      <c r="C70" s="20" t="s">
        <v>154</v>
      </c>
      <c r="D70" s="20" t="s">
        <v>237</v>
      </c>
      <c r="E70" s="20" t="s">
        <v>238</v>
      </c>
      <c r="F70" s="19" t="s">
        <v>158</v>
      </c>
      <c r="G70" s="19" t="s">
        <v>25</v>
      </c>
      <c r="H70" s="19" t="s">
        <v>18</v>
      </c>
      <c r="I70" s="21">
        <f>'Feature Inventory'!J70/8</f>
        <v>12</v>
      </c>
      <c r="J70" s="21">
        <f>'Feature Inventory'!L70/8</f>
        <v>8</v>
      </c>
      <c r="K70" s="22" t="s">
        <v>644</v>
      </c>
      <c r="L70" s="22" t="s">
        <v>560</v>
      </c>
      <c r="M70" s="22">
        <v>22</v>
      </c>
      <c r="N70" s="22">
        <v>30</v>
      </c>
      <c r="O70" s="22">
        <v>45</v>
      </c>
      <c r="P70" s="22">
        <v>26</v>
      </c>
      <c r="Q70" s="20" t="s">
        <v>500</v>
      </c>
      <c r="R70" s="20" t="s">
        <v>642</v>
      </c>
    </row>
    <row r="71" spans="1:18" ht="45">
      <c r="A71" s="19">
        <v>71</v>
      </c>
      <c r="B71" s="19" t="s">
        <v>240</v>
      </c>
      <c r="C71" s="20" t="s">
        <v>154</v>
      </c>
      <c r="D71" s="20" t="s">
        <v>237</v>
      </c>
      <c r="E71" s="20" t="s">
        <v>241</v>
      </c>
      <c r="F71" s="19" t="s">
        <v>158</v>
      </c>
      <c r="G71" s="19" t="s">
        <v>25</v>
      </c>
      <c r="H71" s="19" t="s">
        <v>15</v>
      </c>
      <c r="I71" s="21">
        <f>'Feature Inventory'!J71/8</f>
        <v>3</v>
      </c>
      <c r="J71" s="21">
        <f>'Feature Inventory'!L71/8</f>
        <v>2</v>
      </c>
      <c r="K71" s="22" t="s">
        <v>649</v>
      </c>
      <c r="L71" s="22" t="s">
        <v>561</v>
      </c>
      <c r="M71" s="22">
        <v>3</v>
      </c>
      <c r="N71" s="22">
        <v>4</v>
      </c>
      <c r="O71" s="22">
        <v>5</v>
      </c>
      <c r="P71" s="22">
        <v>3</v>
      </c>
      <c r="Q71" s="20" t="s">
        <v>500</v>
      </c>
      <c r="R71" s="20" t="s">
        <v>640</v>
      </c>
    </row>
    <row r="72" spans="1:18" ht="45">
      <c r="A72" s="19">
        <v>72</v>
      </c>
      <c r="B72" s="19" t="s">
        <v>243</v>
      </c>
      <c r="C72" s="20" t="s">
        <v>154</v>
      </c>
      <c r="D72" s="20" t="s">
        <v>237</v>
      </c>
      <c r="E72" s="20" t="s">
        <v>244</v>
      </c>
      <c r="F72" s="19" t="s">
        <v>158</v>
      </c>
      <c r="G72" s="19" t="s">
        <v>46</v>
      </c>
      <c r="H72" s="19" t="s">
        <v>26</v>
      </c>
      <c r="I72" s="21">
        <f>'Feature Inventory'!J72/8</f>
        <v>5</v>
      </c>
      <c r="J72" s="21">
        <f>'Feature Inventory'!L72/8</f>
        <v>3</v>
      </c>
      <c r="K72" s="22" t="s">
        <v>648</v>
      </c>
      <c r="L72" s="22" t="s">
        <v>561</v>
      </c>
      <c r="M72" s="22">
        <v>5</v>
      </c>
      <c r="N72" s="22">
        <v>6</v>
      </c>
      <c r="O72" s="22">
        <v>8</v>
      </c>
      <c r="P72" s="22">
        <v>5</v>
      </c>
      <c r="Q72" s="20" t="s">
        <v>500</v>
      </c>
      <c r="R72" s="20" t="s">
        <v>640</v>
      </c>
    </row>
    <row r="73" spans="1:18" ht="45">
      <c r="A73" s="19">
        <v>73</v>
      </c>
      <c r="B73" s="19" t="s">
        <v>246</v>
      </c>
      <c r="C73" s="20" t="s">
        <v>154</v>
      </c>
      <c r="D73" s="20" t="s">
        <v>237</v>
      </c>
      <c r="E73" s="20" t="s">
        <v>247</v>
      </c>
      <c r="F73" s="19" t="s">
        <v>158</v>
      </c>
      <c r="G73" s="19" t="s">
        <v>46</v>
      </c>
      <c r="H73" s="19" t="s">
        <v>26</v>
      </c>
      <c r="I73" s="21">
        <f>'Feature Inventory'!J73/8</f>
        <v>6</v>
      </c>
      <c r="J73" s="21">
        <f>'Feature Inventory'!L73/8</f>
        <v>4</v>
      </c>
      <c r="K73" s="22" t="s">
        <v>648</v>
      </c>
      <c r="L73" s="22" t="s">
        <v>561</v>
      </c>
      <c r="M73" s="22">
        <v>6</v>
      </c>
      <c r="N73" s="22">
        <v>8</v>
      </c>
      <c r="O73" s="22">
        <v>10</v>
      </c>
      <c r="P73" s="22">
        <v>6</v>
      </c>
      <c r="Q73" s="20" t="s">
        <v>500</v>
      </c>
      <c r="R73" s="20" t="s">
        <v>640</v>
      </c>
    </row>
    <row r="74" spans="1:18" ht="45">
      <c r="A74" s="19">
        <v>74</v>
      </c>
      <c r="B74" s="19" t="s">
        <v>249</v>
      </c>
      <c r="C74" s="20" t="s">
        <v>154</v>
      </c>
      <c r="D74" s="20" t="s">
        <v>237</v>
      </c>
      <c r="E74" s="20" t="s">
        <v>250</v>
      </c>
      <c r="F74" s="19" t="s">
        <v>158</v>
      </c>
      <c r="G74" s="19" t="s">
        <v>25</v>
      </c>
      <c r="H74" s="19" t="s">
        <v>26</v>
      </c>
      <c r="I74" s="21">
        <f>'Feature Inventory'!J74/8</f>
        <v>7</v>
      </c>
      <c r="J74" s="21">
        <f>'Feature Inventory'!L74/8</f>
        <v>5</v>
      </c>
      <c r="K74" s="22" t="s">
        <v>648</v>
      </c>
      <c r="L74" s="22" t="s">
        <v>561</v>
      </c>
      <c r="M74" s="22">
        <v>7</v>
      </c>
      <c r="N74" s="22">
        <v>9</v>
      </c>
      <c r="O74" s="22">
        <v>11</v>
      </c>
      <c r="P74" s="22">
        <v>7</v>
      </c>
      <c r="Q74" s="20" t="s">
        <v>500</v>
      </c>
      <c r="R74" s="20" t="s">
        <v>640</v>
      </c>
    </row>
    <row r="75" spans="1:18" ht="45">
      <c r="A75" s="19">
        <v>75</v>
      </c>
      <c r="B75" s="19" t="s">
        <v>252</v>
      </c>
      <c r="C75" s="20" t="s">
        <v>154</v>
      </c>
      <c r="D75" s="20" t="s">
        <v>237</v>
      </c>
      <c r="E75" s="20" t="s">
        <v>253</v>
      </c>
      <c r="F75" s="19" t="s">
        <v>158</v>
      </c>
      <c r="G75" s="19" t="s">
        <v>46</v>
      </c>
      <c r="H75" s="19" t="s">
        <v>15</v>
      </c>
      <c r="I75" s="21">
        <f>'Feature Inventory'!J75/8</f>
        <v>3</v>
      </c>
      <c r="J75" s="21">
        <f>'Feature Inventory'!L75/8</f>
        <v>2</v>
      </c>
      <c r="K75" s="22" t="s">
        <v>649</v>
      </c>
      <c r="L75" s="22" t="s">
        <v>561</v>
      </c>
      <c r="M75" s="22">
        <v>3</v>
      </c>
      <c r="N75" s="22">
        <v>4</v>
      </c>
      <c r="O75" s="22">
        <v>5</v>
      </c>
      <c r="P75" s="22">
        <v>3</v>
      </c>
      <c r="Q75" s="20" t="s">
        <v>500</v>
      </c>
      <c r="R75" s="20" t="s">
        <v>640</v>
      </c>
    </row>
    <row r="76" spans="1:18" ht="45">
      <c r="A76" s="19">
        <v>76</v>
      </c>
      <c r="B76" s="19" t="s">
        <v>255</v>
      </c>
      <c r="C76" s="20" t="s">
        <v>154</v>
      </c>
      <c r="D76" s="20" t="s">
        <v>237</v>
      </c>
      <c r="E76" s="20" t="s">
        <v>256</v>
      </c>
      <c r="F76" s="19" t="s">
        <v>158</v>
      </c>
      <c r="G76" s="19" t="s">
        <v>25</v>
      </c>
      <c r="H76" s="19" t="s">
        <v>26</v>
      </c>
      <c r="I76" s="21">
        <f>'Feature Inventory'!J76/8</f>
        <v>6</v>
      </c>
      <c r="J76" s="21">
        <f>'Feature Inventory'!L76/8</f>
        <v>4</v>
      </c>
      <c r="K76" s="22" t="s">
        <v>648</v>
      </c>
      <c r="L76" s="22" t="s">
        <v>561</v>
      </c>
      <c r="M76" s="22">
        <v>6</v>
      </c>
      <c r="N76" s="22">
        <v>8</v>
      </c>
      <c r="O76" s="22">
        <v>10</v>
      </c>
      <c r="P76" s="22">
        <v>6</v>
      </c>
      <c r="Q76" s="20" t="s">
        <v>500</v>
      </c>
      <c r="R76" s="20" t="s">
        <v>640</v>
      </c>
    </row>
    <row r="77" spans="1:18" ht="45">
      <c r="A77" s="19">
        <v>77</v>
      </c>
      <c r="B77" s="19" t="s">
        <v>258</v>
      </c>
      <c r="C77" s="20" t="s">
        <v>154</v>
      </c>
      <c r="D77" s="20" t="s">
        <v>259</v>
      </c>
      <c r="E77" s="20" t="s">
        <v>260</v>
      </c>
      <c r="F77" s="19" t="s">
        <v>158</v>
      </c>
      <c r="G77" s="19" t="s">
        <v>25</v>
      </c>
      <c r="H77" s="19" t="s">
        <v>26</v>
      </c>
      <c r="I77" s="21">
        <f>'Feature Inventory'!J77/8</f>
        <v>7</v>
      </c>
      <c r="J77" s="21">
        <f>'Feature Inventory'!L77/8</f>
        <v>4</v>
      </c>
      <c r="K77" s="22" t="s">
        <v>650</v>
      </c>
      <c r="L77" s="22" t="s">
        <v>561</v>
      </c>
      <c r="M77" s="22">
        <v>8</v>
      </c>
      <c r="N77" s="22">
        <v>10</v>
      </c>
      <c r="O77" s="22">
        <v>13</v>
      </c>
      <c r="P77" s="22">
        <v>8</v>
      </c>
      <c r="Q77" s="20" t="s">
        <v>500</v>
      </c>
      <c r="R77" s="20" t="s">
        <v>640</v>
      </c>
    </row>
    <row r="78" spans="1:18" ht="45">
      <c r="A78" s="19">
        <v>78</v>
      </c>
      <c r="B78" s="19" t="s">
        <v>262</v>
      </c>
      <c r="C78" s="20" t="s">
        <v>154</v>
      </c>
      <c r="D78" s="20" t="s">
        <v>259</v>
      </c>
      <c r="E78" s="20" t="s">
        <v>263</v>
      </c>
      <c r="F78" s="19" t="s">
        <v>158</v>
      </c>
      <c r="G78" s="19" t="s">
        <v>25</v>
      </c>
      <c r="H78" s="19" t="s">
        <v>18</v>
      </c>
      <c r="I78" s="21">
        <f>'Feature Inventory'!J78/8</f>
        <v>16</v>
      </c>
      <c r="J78" s="21">
        <f>'Feature Inventory'!L78/8</f>
        <v>11</v>
      </c>
      <c r="K78" s="22" t="s">
        <v>651</v>
      </c>
      <c r="L78" s="22" t="s">
        <v>560</v>
      </c>
      <c r="M78" s="22">
        <v>24</v>
      </c>
      <c r="N78" s="22">
        <v>32</v>
      </c>
      <c r="O78" s="22">
        <v>44</v>
      </c>
      <c r="P78" s="22">
        <v>26</v>
      </c>
      <c r="Q78" s="20" t="s">
        <v>500</v>
      </c>
      <c r="R78" s="20" t="s">
        <v>642</v>
      </c>
    </row>
    <row r="79" spans="1:18" ht="45">
      <c r="A79" s="19">
        <v>79</v>
      </c>
      <c r="B79" s="19" t="s">
        <v>265</v>
      </c>
      <c r="C79" s="20" t="s">
        <v>154</v>
      </c>
      <c r="D79" s="20" t="s">
        <v>259</v>
      </c>
      <c r="E79" s="20" t="s">
        <v>266</v>
      </c>
      <c r="F79" s="19" t="s">
        <v>158</v>
      </c>
      <c r="G79" s="19" t="s">
        <v>25</v>
      </c>
      <c r="H79" s="19" t="s">
        <v>26</v>
      </c>
      <c r="I79" s="21">
        <f>'Feature Inventory'!J79/8</f>
        <v>8</v>
      </c>
      <c r="J79" s="21">
        <f>'Feature Inventory'!L79/8</f>
        <v>5</v>
      </c>
      <c r="K79" s="22" t="s">
        <v>644</v>
      </c>
      <c r="L79" s="22" t="s">
        <v>560</v>
      </c>
      <c r="M79" s="22">
        <v>12</v>
      </c>
      <c r="N79" s="22">
        <v>16</v>
      </c>
      <c r="O79" s="22">
        <v>22</v>
      </c>
      <c r="P79" s="22">
        <v>14</v>
      </c>
      <c r="Q79" s="20" t="s">
        <v>500</v>
      </c>
      <c r="R79" s="20" t="s">
        <v>642</v>
      </c>
    </row>
    <row r="80" spans="1:18" ht="45">
      <c r="A80" s="19">
        <v>80</v>
      </c>
      <c r="B80" s="19" t="s">
        <v>268</v>
      </c>
      <c r="C80" s="20" t="s">
        <v>154</v>
      </c>
      <c r="D80" s="20" t="s">
        <v>259</v>
      </c>
      <c r="E80" s="20" t="s">
        <v>269</v>
      </c>
      <c r="F80" s="19" t="s">
        <v>158</v>
      </c>
      <c r="G80" s="19" t="s">
        <v>25</v>
      </c>
      <c r="H80" s="19" t="s">
        <v>15</v>
      </c>
      <c r="I80" s="21">
        <f>'Feature Inventory'!J80/8</f>
        <v>4</v>
      </c>
      <c r="J80" s="21">
        <f>'Feature Inventory'!L80/8</f>
        <v>2</v>
      </c>
      <c r="K80" s="22" t="s">
        <v>648</v>
      </c>
      <c r="L80" s="22" t="s">
        <v>561</v>
      </c>
      <c r="M80" s="22">
        <v>4</v>
      </c>
      <c r="N80" s="22">
        <v>5</v>
      </c>
      <c r="O80" s="22">
        <v>6</v>
      </c>
      <c r="P80" s="22">
        <v>4</v>
      </c>
      <c r="Q80" s="20" t="s">
        <v>500</v>
      </c>
      <c r="R80" s="20" t="s">
        <v>640</v>
      </c>
    </row>
    <row r="81" spans="1:18" ht="45">
      <c r="A81" s="19">
        <v>81</v>
      </c>
      <c r="B81" s="19" t="s">
        <v>271</v>
      </c>
      <c r="C81" s="20" t="s">
        <v>154</v>
      </c>
      <c r="D81" s="20" t="s">
        <v>259</v>
      </c>
      <c r="E81" s="20" t="s">
        <v>272</v>
      </c>
      <c r="F81" s="19" t="s">
        <v>158</v>
      </c>
      <c r="G81" s="19" t="s">
        <v>25</v>
      </c>
      <c r="H81" s="19" t="s">
        <v>26</v>
      </c>
      <c r="I81" s="21">
        <f>'Feature Inventory'!J81/8</f>
        <v>7</v>
      </c>
      <c r="J81" s="21">
        <f>'Feature Inventory'!L81/8</f>
        <v>5</v>
      </c>
      <c r="K81" s="22" t="s">
        <v>648</v>
      </c>
      <c r="L81" s="22" t="s">
        <v>561</v>
      </c>
      <c r="M81" s="22">
        <v>7</v>
      </c>
      <c r="N81" s="22">
        <v>9</v>
      </c>
      <c r="O81" s="22">
        <v>11</v>
      </c>
      <c r="P81" s="22">
        <v>7</v>
      </c>
      <c r="Q81" s="20" t="s">
        <v>500</v>
      </c>
      <c r="R81" s="20" t="s">
        <v>640</v>
      </c>
    </row>
    <row r="82" spans="1:18" ht="45">
      <c r="A82" s="19">
        <v>82</v>
      </c>
      <c r="B82" s="19" t="s">
        <v>274</v>
      </c>
      <c r="C82" s="20" t="s">
        <v>154</v>
      </c>
      <c r="D82" s="20" t="s">
        <v>259</v>
      </c>
      <c r="E82" s="20" t="s">
        <v>275</v>
      </c>
      <c r="F82" s="19" t="s">
        <v>128</v>
      </c>
      <c r="G82" s="19" t="s">
        <v>132</v>
      </c>
      <c r="H82" s="19" t="s">
        <v>18</v>
      </c>
      <c r="I82" s="21">
        <f>'Feature Inventory'!J82/8</f>
        <v>18</v>
      </c>
      <c r="J82" s="21">
        <f>'Feature Inventory'!L82/8</f>
        <v>13</v>
      </c>
      <c r="K82" s="22" t="s">
        <v>651</v>
      </c>
      <c r="L82" s="22" t="s">
        <v>560</v>
      </c>
      <c r="M82" s="22">
        <v>28</v>
      </c>
      <c r="N82" s="22">
        <v>36</v>
      </c>
      <c r="O82" s="22">
        <v>50</v>
      </c>
      <c r="P82" s="22">
        <v>30</v>
      </c>
      <c r="Q82" s="20" t="s">
        <v>500</v>
      </c>
      <c r="R82" s="20" t="s">
        <v>642</v>
      </c>
    </row>
    <row r="83" spans="1:18" ht="45">
      <c r="A83" s="19">
        <v>83</v>
      </c>
      <c r="B83" s="19" t="s">
        <v>277</v>
      </c>
      <c r="C83" s="20" t="s">
        <v>278</v>
      </c>
      <c r="D83" s="20" t="s">
        <v>279</v>
      </c>
      <c r="E83" s="20" t="s">
        <v>280</v>
      </c>
      <c r="F83" s="19" t="s">
        <v>24</v>
      </c>
      <c r="G83" s="19" t="s">
        <v>25</v>
      </c>
      <c r="H83" s="19" t="s">
        <v>26</v>
      </c>
      <c r="I83" s="21">
        <f>'Feature Inventory'!J83/8</f>
        <v>5</v>
      </c>
      <c r="J83" s="21">
        <f>'Feature Inventory'!L83/8</f>
        <v>3</v>
      </c>
      <c r="K83" s="22" t="s">
        <v>639</v>
      </c>
      <c r="L83" s="22" t="s">
        <v>561</v>
      </c>
      <c r="M83" s="22">
        <v>4</v>
      </c>
      <c r="N83" s="22">
        <v>6</v>
      </c>
      <c r="O83" s="22">
        <v>7</v>
      </c>
      <c r="P83" s="22">
        <v>4</v>
      </c>
      <c r="Q83" s="20" t="s">
        <v>500</v>
      </c>
      <c r="R83" s="20" t="s">
        <v>640</v>
      </c>
    </row>
    <row r="84" spans="1:18" ht="45">
      <c r="A84" s="19">
        <v>84</v>
      </c>
      <c r="B84" s="19" t="s">
        <v>282</v>
      </c>
      <c r="C84" s="20" t="s">
        <v>278</v>
      </c>
      <c r="D84" s="20" t="s">
        <v>279</v>
      </c>
      <c r="E84" s="20" t="s">
        <v>283</v>
      </c>
      <c r="F84" s="19" t="s">
        <v>24</v>
      </c>
      <c r="G84" s="19" t="s">
        <v>25</v>
      </c>
      <c r="H84" s="19" t="s">
        <v>26</v>
      </c>
      <c r="I84" s="21">
        <f>'Feature Inventory'!J84/8</f>
        <v>7</v>
      </c>
      <c r="J84" s="21">
        <f>'Feature Inventory'!L84/8</f>
        <v>4</v>
      </c>
      <c r="K84" s="22" t="s">
        <v>641</v>
      </c>
      <c r="L84" s="22" t="s">
        <v>560</v>
      </c>
      <c r="M84" s="22">
        <v>9</v>
      </c>
      <c r="N84" s="22">
        <v>11</v>
      </c>
      <c r="O84" s="22">
        <v>15</v>
      </c>
      <c r="P84" s="22">
        <v>9</v>
      </c>
      <c r="Q84" s="20" t="s">
        <v>500</v>
      </c>
      <c r="R84" s="20" t="s">
        <v>642</v>
      </c>
    </row>
    <row r="85" spans="1:18" ht="45">
      <c r="A85" s="19">
        <v>85</v>
      </c>
      <c r="B85" s="19" t="s">
        <v>285</v>
      </c>
      <c r="C85" s="20" t="s">
        <v>278</v>
      </c>
      <c r="D85" s="20" t="s">
        <v>279</v>
      </c>
      <c r="E85" s="20" t="s">
        <v>286</v>
      </c>
      <c r="F85" s="19" t="s">
        <v>24</v>
      </c>
      <c r="G85" s="19" t="s">
        <v>25</v>
      </c>
      <c r="H85" s="19" t="s">
        <v>26</v>
      </c>
      <c r="I85" s="21">
        <f>'Feature Inventory'!J85/8</f>
        <v>6</v>
      </c>
      <c r="J85" s="21">
        <f>'Feature Inventory'!L85/8</f>
        <v>4</v>
      </c>
      <c r="K85" s="22" t="s">
        <v>641</v>
      </c>
      <c r="L85" s="22" t="s">
        <v>560</v>
      </c>
      <c r="M85" s="22">
        <v>8</v>
      </c>
      <c r="N85" s="22">
        <v>9</v>
      </c>
      <c r="O85" s="22">
        <v>13</v>
      </c>
      <c r="P85" s="22">
        <v>7</v>
      </c>
      <c r="Q85" s="20" t="s">
        <v>500</v>
      </c>
      <c r="R85" s="20" t="s">
        <v>642</v>
      </c>
    </row>
    <row r="86" spans="1:18" ht="45">
      <c r="A86" s="19">
        <v>86</v>
      </c>
      <c r="B86" s="19" t="s">
        <v>288</v>
      </c>
      <c r="C86" s="20" t="s">
        <v>278</v>
      </c>
      <c r="D86" s="20" t="s">
        <v>279</v>
      </c>
      <c r="E86" s="20" t="s">
        <v>289</v>
      </c>
      <c r="F86" s="19" t="s">
        <v>24</v>
      </c>
      <c r="G86" s="19" t="s">
        <v>25</v>
      </c>
      <c r="H86" s="19" t="s">
        <v>15</v>
      </c>
      <c r="I86" s="21">
        <f>'Feature Inventory'!J86/8</f>
        <v>3</v>
      </c>
      <c r="J86" s="21">
        <f>'Feature Inventory'!L86/8</f>
        <v>2</v>
      </c>
      <c r="K86" s="22" t="s">
        <v>649</v>
      </c>
      <c r="L86" s="22" t="s">
        <v>561</v>
      </c>
      <c r="M86" s="22">
        <v>3</v>
      </c>
      <c r="N86" s="22">
        <v>4</v>
      </c>
      <c r="O86" s="22">
        <v>5</v>
      </c>
      <c r="P86" s="22">
        <v>3</v>
      </c>
      <c r="Q86" s="20" t="s">
        <v>500</v>
      </c>
      <c r="R86" s="20" t="s">
        <v>640</v>
      </c>
    </row>
    <row r="87" spans="1:18" ht="45">
      <c r="A87" s="19">
        <v>87</v>
      </c>
      <c r="B87" s="19" t="s">
        <v>291</v>
      </c>
      <c r="C87" s="20" t="s">
        <v>278</v>
      </c>
      <c r="D87" s="20" t="s">
        <v>279</v>
      </c>
      <c r="E87" s="20" t="s">
        <v>292</v>
      </c>
      <c r="F87" s="19" t="s">
        <v>24</v>
      </c>
      <c r="G87" s="19" t="s">
        <v>25</v>
      </c>
      <c r="H87" s="19" t="s">
        <v>15</v>
      </c>
      <c r="I87" s="21">
        <f>'Feature Inventory'!J87/8</f>
        <v>4</v>
      </c>
      <c r="J87" s="21">
        <f>'Feature Inventory'!L87/8</f>
        <v>2</v>
      </c>
      <c r="K87" s="22" t="s">
        <v>649</v>
      </c>
      <c r="L87" s="22" t="s">
        <v>561</v>
      </c>
      <c r="M87" s="22">
        <v>4</v>
      </c>
      <c r="N87" s="22">
        <v>5</v>
      </c>
      <c r="O87" s="22">
        <v>6</v>
      </c>
      <c r="P87" s="22">
        <v>4</v>
      </c>
      <c r="Q87" s="20" t="s">
        <v>500</v>
      </c>
      <c r="R87" s="20" t="s">
        <v>640</v>
      </c>
    </row>
    <row r="88" spans="1:18" ht="45">
      <c r="A88" s="19">
        <v>88</v>
      </c>
      <c r="B88" s="19" t="s">
        <v>294</v>
      </c>
      <c r="C88" s="20" t="s">
        <v>278</v>
      </c>
      <c r="D88" s="20" t="s">
        <v>279</v>
      </c>
      <c r="E88" s="20" t="s">
        <v>295</v>
      </c>
      <c r="F88" s="19" t="s">
        <v>24</v>
      </c>
      <c r="G88" s="19" t="s">
        <v>25</v>
      </c>
      <c r="H88" s="19" t="s">
        <v>18</v>
      </c>
      <c r="I88" s="21">
        <f>'Feature Inventory'!J88/8</f>
        <v>9</v>
      </c>
      <c r="J88" s="21">
        <f>'Feature Inventory'!L88/8</f>
        <v>6</v>
      </c>
      <c r="K88" s="22" t="s">
        <v>639</v>
      </c>
      <c r="L88" s="22" t="s">
        <v>560</v>
      </c>
      <c r="M88" s="22">
        <v>14</v>
      </c>
      <c r="N88" s="22">
        <v>18</v>
      </c>
      <c r="O88" s="22">
        <v>25</v>
      </c>
      <c r="P88" s="22">
        <v>14</v>
      </c>
      <c r="Q88" s="20" t="s">
        <v>500</v>
      </c>
      <c r="R88" s="20" t="s">
        <v>642</v>
      </c>
    </row>
    <row r="89" spans="1:18" ht="45">
      <c r="A89" s="19">
        <v>89</v>
      </c>
      <c r="B89" s="19" t="s">
        <v>297</v>
      </c>
      <c r="C89" s="20" t="s">
        <v>278</v>
      </c>
      <c r="D89" s="20" t="s">
        <v>279</v>
      </c>
      <c r="E89" s="20" t="s">
        <v>298</v>
      </c>
      <c r="F89" s="19" t="s">
        <v>24</v>
      </c>
      <c r="G89" s="19" t="s">
        <v>25</v>
      </c>
      <c r="H89" s="19" t="s">
        <v>15</v>
      </c>
      <c r="I89" s="21">
        <f>'Feature Inventory'!J89/8</f>
        <v>3</v>
      </c>
      <c r="J89" s="21">
        <f>'Feature Inventory'!L89/8</f>
        <v>2</v>
      </c>
      <c r="K89" s="22" t="s">
        <v>639</v>
      </c>
      <c r="L89" s="22" t="s">
        <v>561</v>
      </c>
      <c r="M89" s="22">
        <v>3</v>
      </c>
      <c r="N89" s="22">
        <v>3</v>
      </c>
      <c r="O89" s="22">
        <v>4</v>
      </c>
      <c r="P89" s="22">
        <v>2</v>
      </c>
      <c r="Q89" s="20" t="s">
        <v>500</v>
      </c>
      <c r="R89" s="20" t="s">
        <v>640</v>
      </c>
    </row>
    <row r="90" spans="1:18" ht="45">
      <c r="A90" s="19">
        <v>90</v>
      </c>
      <c r="B90" s="19" t="s">
        <v>300</v>
      </c>
      <c r="C90" s="20" t="s">
        <v>278</v>
      </c>
      <c r="D90" s="20" t="s">
        <v>301</v>
      </c>
      <c r="E90" s="20" t="s">
        <v>302</v>
      </c>
      <c r="F90" s="19" t="s">
        <v>24</v>
      </c>
      <c r="G90" s="19" t="s">
        <v>25</v>
      </c>
      <c r="H90" s="19" t="s">
        <v>15</v>
      </c>
      <c r="I90" s="21">
        <f>'Feature Inventory'!J90/8</f>
        <v>4</v>
      </c>
      <c r="J90" s="21">
        <f>'Feature Inventory'!L90/8</f>
        <v>2</v>
      </c>
      <c r="K90" s="22" t="s">
        <v>639</v>
      </c>
      <c r="L90" s="22" t="s">
        <v>561</v>
      </c>
      <c r="M90" s="22">
        <v>4</v>
      </c>
      <c r="N90" s="22">
        <v>4</v>
      </c>
      <c r="O90" s="22">
        <v>6</v>
      </c>
      <c r="P90" s="22">
        <v>3</v>
      </c>
      <c r="Q90" s="20" t="s">
        <v>500</v>
      </c>
      <c r="R90" s="20" t="s">
        <v>640</v>
      </c>
    </row>
    <row r="91" spans="1:18" ht="45">
      <c r="A91" s="19">
        <v>91</v>
      </c>
      <c r="B91" s="19" t="s">
        <v>304</v>
      </c>
      <c r="C91" s="20" t="s">
        <v>278</v>
      </c>
      <c r="D91" s="20" t="s">
        <v>301</v>
      </c>
      <c r="E91" s="20" t="s">
        <v>305</v>
      </c>
      <c r="F91" s="19" t="s">
        <v>24</v>
      </c>
      <c r="G91" s="19" t="s">
        <v>46</v>
      </c>
      <c r="H91" s="19" t="s">
        <v>26</v>
      </c>
      <c r="I91" s="21">
        <f>'Feature Inventory'!J91/8</f>
        <v>5</v>
      </c>
      <c r="J91" s="21">
        <f>'Feature Inventory'!L91/8</f>
        <v>3</v>
      </c>
      <c r="K91" s="22" t="s">
        <v>639</v>
      </c>
      <c r="L91" s="22" t="s">
        <v>561</v>
      </c>
      <c r="M91" s="22">
        <v>4</v>
      </c>
      <c r="N91" s="22">
        <v>6</v>
      </c>
      <c r="O91" s="22">
        <v>7</v>
      </c>
      <c r="P91" s="22">
        <v>4</v>
      </c>
      <c r="Q91" s="20" t="s">
        <v>500</v>
      </c>
      <c r="R91" s="20" t="s">
        <v>640</v>
      </c>
    </row>
    <row r="92" spans="1:18" ht="45">
      <c r="A92" s="19">
        <v>92</v>
      </c>
      <c r="B92" s="19" t="s">
        <v>307</v>
      </c>
      <c r="C92" s="20" t="s">
        <v>278</v>
      </c>
      <c r="D92" s="20" t="s">
        <v>301</v>
      </c>
      <c r="E92" s="20" t="s">
        <v>308</v>
      </c>
      <c r="F92" s="19" t="s">
        <v>24</v>
      </c>
      <c r="G92" s="19" t="s">
        <v>25</v>
      </c>
      <c r="H92" s="19" t="s">
        <v>26</v>
      </c>
      <c r="I92" s="21">
        <f>'Feature Inventory'!J92/8</f>
        <v>4</v>
      </c>
      <c r="J92" s="21">
        <f>'Feature Inventory'!L92/8</f>
        <v>2</v>
      </c>
      <c r="K92" s="22" t="s">
        <v>639</v>
      </c>
      <c r="L92" s="22" t="s">
        <v>561</v>
      </c>
      <c r="M92" s="22">
        <v>4</v>
      </c>
      <c r="N92" s="22">
        <v>4</v>
      </c>
      <c r="O92" s="22">
        <v>6</v>
      </c>
      <c r="P92" s="22">
        <v>3</v>
      </c>
      <c r="Q92" s="20" t="s">
        <v>500</v>
      </c>
      <c r="R92" s="20" t="s">
        <v>640</v>
      </c>
    </row>
    <row r="93" spans="1:18" ht="45">
      <c r="A93" s="19">
        <v>93</v>
      </c>
      <c r="B93" s="19" t="s">
        <v>310</v>
      </c>
      <c r="C93" s="20" t="s">
        <v>278</v>
      </c>
      <c r="D93" s="20" t="s">
        <v>301</v>
      </c>
      <c r="E93" s="20" t="s">
        <v>311</v>
      </c>
      <c r="F93" s="19" t="s">
        <v>24</v>
      </c>
      <c r="G93" s="19" t="s">
        <v>46</v>
      </c>
      <c r="H93" s="19" t="s">
        <v>26</v>
      </c>
      <c r="I93" s="21">
        <f>'Feature Inventory'!J93/8</f>
        <v>5</v>
      </c>
      <c r="J93" s="21">
        <f>'Feature Inventory'!L93/8</f>
        <v>3</v>
      </c>
      <c r="K93" s="22" t="s">
        <v>639</v>
      </c>
      <c r="L93" s="22" t="s">
        <v>561</v>
      </c>
      <c r="M93" s="22">
        <v>4</v>
      </c>
      <c r="N93" s="22">
        <v>6</v>
      </c>
      <c r="O93" s="22">
        <v>7</v>
      </c>
      <c r="P93" s="22">
        <v>4</v>
      </c>
      <c r="Q93" s="20" t="s">
        <v>500</v>
      </c>
      <c r="R93" s="20" t="s">
        <v>640</v>
      </c>
    </row>
    <row r="94" spans="1:18" ht="45">
      <c r="A94" s="19">
        <v>94</v>
      </c>
      <c r="B94" s="19" t="s">
        <v>313</v>
      </c>
      <c r="C94" s="20" t="s">
        <v>278</v>
      </c>
      <c r="D94" s="20" t="s">
        <v>301</v>
      </c>
      <c r="E94" s="20" t="s">
        <v>314</v>
      </c>
      <c r="F94" s="19" t="s">
        <v>24</v>
      </c>
      <c r="G94" s="19" t="s">
        <v>46</v>
      </c>
      <c r="H94" s="19" t="s">
        <v>26</v>
      </c>
      <c r="I94" s="21">
        <f>'Feature Inventory'!J94/8</f>
        <v>4</v>
      </c>
      <c r="J94" s="21">
        <f>'Feature Inventory'!L94/8</f>
        <v>2</v>
      </c>
      <c r="K94" s="22" t="s">
        <v>643</v>
      </c>
      <c r="L94" s="22" t="s">
        <v>560</v>
      </c>
      <c r="M94" s="22">
        <v>5</v>
      </c>
      <c r="N94" s="22">
        <v>6</v>
      </c>
      <c r="O94" s="22">
        <v>8</v>
      </c>
      <c r="P94" s="22">
        <v>5</v>
      </c>
      <c r="Q94" s="20" t="s">
        <v>500</v>
      </c>
      <c r="R94" s="20" t="s">
        <v>642</v>
      </c>
    </row>
    <row r="95" spans="1:18" ht="45">
      <c r="A95" s="19">
        <v>95</v>
      </c>
      <c r="B95" s="19" t="s">
        <v>316</v>
      </c>
      <c r="C95" s="20" t="s">
        <v>278</v>
      </c>
      <c r="D95" s="20" t="s">
        <v>301</v>
      </c>
      <c r="E95" s="20" t="s">
        <v>317</v>
      </c>
      <c r="F95" s="19" t="s">
        <v>24</v>
      </c>
      <c r="G95" s="19" t="s">
        <v>46</v>
      </c>
      <c r="H95" s="19" t="s">
        <v>18</v>
      </c>
      <c r="I95" s="21">
        <f>'Feature Inventory'!J95/8</f>
        <v>9</v>
      </c>
      <c r="J95" s="21">
        <f>'Feature Inventory'!L95/8</f>
        <v>6</v>
      </c>
      <c r="K95" s="22" t="s">
        <v>648</v>
      </c>
      <c r="L95" s="22" t="s">
        <v>561</v>
      </c>
      <c r="M95" s="22">
        <v>9</v>
      </c>
      <c r="N95" s="22">
        <v>11</v>
      </c>
      <c r="O95" s="22">
        <v>14</v>
      </c>
      <c r="P95" s="22">
        <v>9</v>
      </c>
      <c r="Q95" s="20" t="s">
        <v>500</v>
      </c>
      <c r="R95" s="20" t="s">
        <v>640</v>
      </c>
    </row>
    <row r="96" spans="1:18" ht="45">
      <c r="A96" s="19">
        <v>96</v>
      </c>
      <c r="B96" s="19" t="s">
        <v>319</v>
      </c>
      <c r="C96" s="20" t="s">
        <v>278</v>
      </c>
      <c r="D96" s="20" t="s">
        <v>320</v>
      </c>
      <c r="E96" s="20" t="s">
        <v>321</v>
      </c>
      <c r="F96" s="19" t="s">
        <v>24</v>
      </c>
      <c r="G96" s="19" t="s">
        <v>25</v>
      </c>
      <c r="H96" s="19" t="s">
        <v>15</v>
      </c>
      <c r="I96" s="21">
        <f>'Feature Inventory'!J96/8</f>
        <v>3</v>
      </c>
      <c r="J96" s="21">
        <f>'Feature Inventory'!L96/8</f>
        <v>2</v>
      </c>
      <c r="K96" s="22" t="s">
        <v>639</v>
      </c>
      <c r="L96" s="22" t="s">
        <v>561</v>
      </c>
      <c r="M96" s="22">
        <v>3</v>
      </c>
      <c r="N96" s="22">
        <v>3</v>
      </c>
      <c r="O96" s="22">
        <v>4</v>
      </c>
      <c r="P96" s="22">
        <v>2</v>
      </c>
      <c r="Q96" s="20" t="s">
        <v>500</v>
      </c>
      <c r="R96" s="20" t="s">
        <v>640</v>
      </c>
    </row>
    <row r="97" spans="1:18" ht="45">
      <c r="A97" s="19">
        <v>97</v>
      </c>
      <c r="B97" s="19" t="s">
        <v>323</v>
      </c>
      <c r="C97" s="20" t="s">
        <v>278</v>
      </c>
      <c r="D97" s="20" t="s">
        <v>320</v>
      </c>
      <c r="E97" s="20" t="s">
        <v>308</v>
      </c>
      <c r="F97" s="19" t="s">
        <v>24</v>
      </c>
      <c r="G97" s="19" t="s">
        <v>25</v>
      </c>
      <c r="H97" s="19" t="s">
        <v>26</v>
      </c>
      <c r="I97" s="21">
        <f>'Feature Inventory'!J97/8</f>
        <v>4</v>
      </c>
      <c r="J97" s="21">
        <f>'Feature Inventory'!L97/8</f>
        <v>2</v>
      </c>
      <c r="K97" s="22" t="s">
        <v>639</v>
      </c>
      <c r="L97" s="22" t="s">
        <v>561</v>
      </c>
      <c r="M97" s="22">
        <v>4</v>
      </c>
      <c r="N97" s="22">
        <v>4</v>
      </c>
      <c r="O97" s="22">
        <v>6</v>
      </c>
      <c r="P97" s="22">
        <v>3</v>
      </c>
      <c r="Q97" s="20" t="s">
        <v>500</v>
      </c>
      <c r="R97" s="20" t="s">
        <v>640</v>
      </c>
    </row>
    <row r="98" spans="1:18" ht="45">
      <c r="A98" s="19">
        <v>98</v>
      </c>
      <c r="B98" s="19" t="s">
        <v>325</v>
      </c>
      <c r="C98" s="20" t="s">
        <v>278</v>
      </c>
      <c r="D98" s="20" t="s">
        <v>320</v>
      </c>
      <c r="E98" s="20" t="s">
        <v>326</v>
      </c>
      <c r="F98" s="19" t="s">
        <v>24</v>
      </c>
      <c r="G98" s="19" t="s">
        <v>25</v>
      </c>
      <c r="H98" s="19" t="s">
        <v>18</v>
      </c>
      <c r="I98" s="21">
        <f>'Feature Inventory'!J98/8</f>
        <v>6</v>
      </c>
      <c r="J98" s="21">
        <f>'Feature Inventory'!L98/8</f>
        <v>4</v>
      </c>
      <c r="K98" s="22" t="s">
        <v>648</v>
      </c>
      <c r="L98" s="22" t="s">
        <v>561</v>
      </c>
      <c r="M98" s="22">
        <v>6</v>
      </c>
      <c r="N98" s="22">
        <v>8</v>
      </c>
      <c r="O98" s="22">
        <v>10</v>
      </c>
      <c r="P98" s="22">
        <v>6</v>
      </c>
      <c r="Q98" s="20" t="s">
        <v>500</v>
      </c>
      <c r="R98" s="20" t="s">
        <v>640</v>
      </c>
    </row>
    <row r="99" spans="1:18" ht="45">
      <c r="A99" s="19">
        <v>99</v>
      </c>
      <c r="B99" s="19" t="s">
        <v>328</v>
      </c>
      <c r="C99" s="20" t="s">
        <v>278</v>
      </c>
      <c r="D99" s="20" t="s">
        <v>320</v>
      </c>
      <c r="E99" s="20" t="s">
        <v>329</v>
      </c>
      <c r="F99" s="19" t="s">
        <v>24</v>
      </c>
      <c r="G99" s="19" t="s">
        <v>25</v>
      </c>
      <c r="H99" s="19" t="s">
        <v>26</v>
      </c>
      <c r="I99" s="21">
        <f>'Feature Inventory'!J99/8</f>
        <v>5</v>
      </c>
      <c r="J99" s="21">
        <f>'Feature Inventory'!L99/8</f>
        <v>3</v>
      </c>
      <c r="K99" s="22" t="s">
        <v>648</v>
      </c>
      <c r="L99" s="22" t="s">
        <v>561</v>
      </c>
      <c r="M99" s="22">
        <v>5</v>
      </c>
      <c r="N99" s="22">
        <v>6</v>
      </c>
      <c r="O99" s="22">
        <v>8</v>
      </c>
      <c r="P99" s="22">
        <v>5</v>
      </c>
      <c r="Q99" s="20" t="s">
        <v>500</v>
      </c>
      <c r="R99" s="20" t="s">
        <v>640</v>
      </c>
    </row>
    <row r="100" spans="1:18" ht="45">
      <c r="A100" s="19">
        <v>100</v>
      </c>
      <c r="B100" s="19" t="s">
        <v>331</v>
      </c>
      <c r="C100" s="20" t="s">
        <v>278</v>
      </c>
      <c r="D100" s="20" t="s">
        <v>320</v>
      </c>
      <c r="E100" s="20" t="s">
        <v>332</v>
      </c>
      <c r="F100" s="19" t="s">
        <v>24</v>
      </c>
      <c r="G100" s="19" t="s">
        <v>25</v>
      </c>
      <c r="H100" s="19" t="s">
        <v>26</v>
      </c>
      <c r="I100" s="21">
        <f>'Feature Inventory'!J100/8</f>
        <v>6</v>
      </c>
      <c r="J100" s="21">
        <f>'Feature Inventory'!L100/8</f>
        <v>3</v>
      </c>
      <c r="K100" s="22" t="s">
        <v>648</v>
      </c>
      <c r="L100" s="22" t="s">
        <v>561</v>
      </c>
      <c r="M100" s="22">
        <v>6</v>
      </c>
      <c r="N100" s="22">
        <v>8</v>
      </c>
      <c r="O100" s="22">
        <v>10</v>
      </c>
      <c r="P100" s="22">
        <v>6</v>
      </c>
      <c r="Q100" s="20" t="s">
        <v>500</v>
      </c>
      <c r="R100" s="20" t="s">
        <v>640</v>
      </c>
    </row>
    <row r="101" spans="1:18" ht="45">
      <c r="A101" s="19">
        <v>101</v>
      </c>
      <c r="B101" s="19" t="s">
        <v>334</v>
      </c>
      <c r="C101" s="20" t="s">
        <v>278</v>
      </c>
      <c r="D101" s="20" t="s">
        <v>320</v>
      </c>
      <c r="E101" s="20" t="s">
        <v>335</v>
      </c>
      <c r="F101" s="19" t="s">
        <v>24</v>
      </c>
      <c r="G101" s="19" t="s">
        <v>25</v>
      </c>
      <c r="H101" s="19" t="s">
        <v>18</v>
      </c>
      <c r="I101" s="21">
        <f>'Feature Inventory'!J101/8</f>
        <v>7</v>
      </c>
      <c r="J101" s="21">
        <f>'Feature Inventory'!L101/8</f>
        <v>5</v>
      </c>
      <c r="K101" s="22" t="s">
        <v>648</v>
      </c>
      <c r="L101" s="22" t="s">
        <v>561</v>
      </c>
      <c r="M101" s="22">
        <v>7</v>
      </c>
      <c r="N101" s="22">
        <v>9</v>
      </c>
      <c r="O101" s="22">
        <v>11</v>
      </c>
      <c r="P101" s="22">
        <v>7</v>
      </c>
      <c r="Q101" s="20" t="s">
        <v>500</v>
      </c>
      <c r="R101" s="20" t="s">
        <v>640</v>
      </c>
    </row>
    <row r="102" spans="1:18" ht="45">
      <c r="A102" s="19">
        <v>102</v>
      </c>
      <c r="B102" s="19" t="s">
        <v>337</v>
      </c>
      <c r="C102" s="20" t="s">
        <v>278</v>
      </c>
      <c r="D102" s="20" t="s">
        <v>320</v>
      </c>
      <c r="E102" s="20" t="s">
        <v>338</v>
      </c>
      <c r="F102" s="19" t="s">
        <v>24</v>
      </c>
      <c r="G102" s="19" t="s">
        <v>25</v>
      </c>
      <c r="H102" s="19" t="s">
        <v>18</v>
      </c>
      <c r="I102" s="21">
        <f>'Feature Inventory'!J102/8</f>
        <v>6</v>
      </c>
      <c r="J102" s="21">
        <f>'Feature Inventory'!L102/8</f>
        <v>3</v>
      </c>
      <c r="K102" s="22" t="s">
        <v>648</v>
      </c>
      <c r="L102" s="22" t="s">
        <v>561</v>
      </c>
      <c r="M102" s="22">
        <v>6</v>
      </c>
      <c r="N102" s="22">
        <v>8</v>
      </c>
      <c r="O102" s="22">
        <v>10</v>
      </c>
      <c r="P102" s="22">
        <v>6</v>
      </c>
      <c r="Q102" s="20" t="s">
        <v>500</v>
      </c>
      <c r="R102" s="20" t="s">
        <v>640</v>
      </c>
    </row>
    <row r="103" spans="1:18" ht="45">
      <c r="A103" s="19">
        <v>103</v>
      </c>
      <c r="B103" s="19" t="s">
        <v>340</v>
      </c>
      <c r="C103" s="20" t="s">
        <v>278</v>
      </c>
      <c r="D103" s="20" t="s">
        <v>320</v>
      </c>
      <c r="E103" s="20" t="s">
        <v>341</v>
      </c>
      <c r="F103" s="19" t="s">
        <v>24</v>
      </c>
      <c r="G103" s="19" t="s">
        <v>25</v>
      </c>
      <c r="H103" s="19" t="s">
        <v>15</v>
      </c>
      <c r="I103" s="21">
        <f>'Feature Inventory'!J103/8</f>
        <v>4</v>
      </c>
      <c r="J103" s="21">
        <f>'Feature Inventory'!L103/8</f>
        <v>2</v>
      </c>
      <c r="K103" s="22" t="s">
        <v>648</v>
      </c>
      <c r="L103" s="22" t="s">
        <v>561</v>
      </c>
      <c r="M103" s="22">
        <v>4</v>
      </c>
      <c r="N103" s="22">
        <v>5</v>
      </c>
      <c r="O103" s="22">
        <v>6</v>
      </c>
      <c r="P103" s="22">
        <v>4</v>
      </c>
      <c r="Q103" s="20" t="s">
        <v>500</v>
      </c>
      <c r="R103" s="20" t="s">
        <v>640</v>
      </c>
    </row>
    <row r="104" spans="1:18" ht="45">
      <c r="A104" s="19">
        <v>104</v>
      </c>
      <c r="B104" s="19" t="s">
        <v>343</v>
      </c>
      <c r="C104" s="20" t="s">
        <v>278</v>
      </c>
      <c r="D104" s="20" t="s">
        <v>344</v>
      </c>
      <c r="E104" s="20" t="s">
        <v>345</v>
      </c>
      <c r="F104" s="19" t="s">
        <v>24</v>
      </c>
      <c r="G104" s="19" t="s">
        <v>25</v>
      </c>
      <c r="H104" s="19" t="s">
        <v>18</v>
      </c>
      <c r="I104" s="21">
        <f>'Feature Inventory'!J104/8</f>
        <v>6</v>
      </c>
      <c r="J104" s="21">
        <f>'Feature Inventory'!L104/8</f>
        <v>3</v>
      </c>
      <c r="K104" s="22" t="s">
        <v>648</v>
      </c>
      <c r="L104" s="22" t="s">
        <v>561</v>
      </c>
      <c r="M104" s="22">
        <v>6</v>
      </c>
      <c r="N104" s="22">
        <v>8</v>
      </c>
      <c r="O104" s="22">
        <v>10</v>
      </c>
      <c r="P104" s="22">
        <v>6</v>
      </c>
      <c r="Q104" s="20" t="s">
        <v>500</v>
      </c>
      <c r="R104" s="20" t="s">
        <v>640</v>
      </c>
    </row>
    <row r="105" spans="1:18" ht="45">
      <c r="A105" s="19">
        <v>105</v>
      </c>
      <c r="B105" s="19" t="s">
        <v>347</v>
      </c>
      <c r="C105" s="20" t="s">
        <v>278</v>
      </c>
      <c r="D105" s="20" t="s">
        <v>344</v>
      </c>
      <c r="E105" s="20" t="s">
        <v>348</v>
      </c>
      <c r="F105" s="19" t="s">
        <v>24</v>
      </c>
      <c r="G105" s="19" t="s">
        <v>25</v>
      </c>
      <c r="H105" s="19" t="s">
        <v>18</v>
      </c>
      <c r="I105" s="21">
        <f>'Feature Inventory'!J105/8</f>
        <v>6</v>
      </c>
      <c r="J105" s="21">
        <f>'Feature Inventory'!L105/8</f>
        <v>3</v>
      </c>
      <c r="K105" s="22" t="s">
        <v>648</v>
      </c>
      <c r="L105" s="22" t="s">
        <v>561</v>
      </c>
      <c r="M105" s="22">
        <v>6</v>
      </c>
      <c r="N105" s="22">
        <v>8</v>
      </c>
      <c r="O105" s="22">
        <v>10</v>
      </c>
      <c r="P105" s="22">
        <v>6</v>
      </c>
      <c r="Q105" s="20" t="s">
        <v>500</v>
      </c>
      <c r="R105" s="20" t="s">
        <v>640</v>
      </c>
    </row>
    <row r="106" spans="1:18" ht="45">
      <c r="A106" s="19">
        <v>106</v>
      </c>
      <c r="B106" s="19" t="s">
        <v>350</v>
      </c>
      <c r="C106" s="20" t="s">
        <v>278</v>
      </c>
      <c r="D106" s="20" t="s">
        <v>344</v>
      </c>
      <c r="E106" s="20" t="s">
        <v>351</v>
      </c>
      <c r="F106" s="19" t="s">
        <v>24</v>
      </c>
      <c r="G106" s="19" t="s">
        <v>25</v>
      </c>
      <c r="H106" s="19" t="s">
        <v>18</v>
      </c>
      <c r="I106" s="21">
        <f>'Feature Inventory'!J106/8</f>
        <v>8</v>
      </c>
      <c r="J106" s="21">
        <f>'Feature Inventory'!L106/8</f>
        <v>5</v>
      </c>
      <c r="K106" s="22" t="s">
        <v>648</v>
      </c>
      <c r="L106" s="22" t="s">
        <v>561</v>
      </c>
      <c r="M106" s="22">
        <v>8</v>
      </c>
      <c r="N106" s="22">
        <v>10</v>
      </c>
      <c r="O106" s="22">
        <v>13</v>
      </c>
      <c r="P106" s="22">
        <v>8</v>
      </c>
      <c r="Q106" s="20" t="s">
        <v>500</v>
      </c>
      <c r="R106" s="20" t="s">
        <v>640</v>
      </c>
    </row>
    <row r="107" spans="1:18" ht="45">
      <c r="A107" s="19">
        <v>107</v>
      </c>
      <c r="B107" s="19" t="s">
        <v>353</v>
      </c>
      <c r="C107" s="20" t="s">
        <v>278</v>
      </c>
      <c r="D107" s="20" t="s">
        <v>344</v>
      </c>
      <c r="E107" s="20" t="s">
        <v>354</v>
      </c>
      <c r="F107" s="19" t="s">
        <v>24</v>
      </c>
      <c r="G107" s="19" t="s">
        <v>25</v>
      </c>
      <c r="H107" s="19" t="s">
        <v>18</v>
      </c>
      <c r="I107" s="21">
        <f>'Feature Inventory'!J107/8</f>
        <v>8</v>
      </c>
      <c r="J107" s="21">
        <f>'Feature Inventory'!L107/8</f>
        <v>5</v>
      </c>
      <c r="K107" s="22" t="s">
        <v>648</v>
      </c>
      <c r="L107" s="22" t="s">
        <v>561</v>
      </c>
      <c r="M107" s="22">
        <v>8</v>
      </c>
      <c r="N107" s="22">
        <v>10</v>
      </c>
      <c r="O107" s="22">
        <v>13</v>
      </c>
      <c r="P107" s="22">
        <v>8</v>
      </c>
      <c r="Q107" s="20" t="s">
        <v>500</v>
      </c>
      <c r="R107" s="20" t="s">
        <v>640</v>
      </c>
    </row>
    <row r="108" spans="1:18" ht="45">
      <c r="A108" s="19">
        <v>108</v>
      </c>
      <c r="B108" s="19" t="s">
        <v>356</v>
      </c>
      <c r="C108" s="20" t="s">
        <v>278</v>
      </c>
      <c r="D108" s="20" t="s">
        <v>357</v>
      </c>
      <c r="E108" s="20" t="s">
        <v>358</v>
      </c>
      <c r="F108" s="19" t="s">
        <v>24</v>
      </c>
      <c r="G108" s="19" t="s">
        <v>46</v>
      </c>
      <c r="H108" s="19" t="s">
        <v>18</v>
      </c>
      <c r="I108" s="21">
        <f>'Feature Inventory'!J108/8</f>
        <v>6</v>
      </c>
      <c r="J108" s="21">
        <f>'Feature Inventory'!L108/8</f>
        <v>3</v>
      </c>
      <c r="K108" s="22" t="s">
        <v>648</v>
      </c>
      <c r="L108" s="22" t="s">
        <v>561</v>
      </c>
      <c r="M108" s="22">
        <v>6</v>
      </c>
      <c r="N108" s="22">
        <v>8</v>
      </c>
      <c r="O108" s="22">
        <v>10</v>
      </c>
      <c r="P108" s="22">
        <v>6</v>
      </c>
      <c r="Q108" s="20" t="s">
        <v>500</v>
      </c>
      <c r="R108" s="20" t="s">
        <v>640</v>
      </c>
    </row>
    <row r="109" spans="1:18" ht="45">
      <c r="A109" s="19">
        <v>109</v>
      </c>
      <c r="B109" s="19" t="s">
        <v>360</v>
      </c>
      <c r="C109" s="20" t="s">
        <v>278</v>
      </c>
      <c r="D109" s="20" t="s">
        <v>357</v>
      </c>
      <c r="E109" s="20" t="s">
        <v>361</v>
      </c>
      <c r="F109" s="19" t="s">
        <v>24</v>
      </c>
      <c r="G109" s="19" t="s">
        <v>46</v>
      </c>
      <c r="H109" s="19" t="s">
        <v>26</v>
      </c>
      <c r="I109" s="21">
        <f>'Feature Inventory'!J109/8</f>
        <v>5</v>
      </c>
      <c r="J109" s="21">
        <f>'Feature Inventory'!L109/8</f>
        <v>3</v>
      </c>
      <c r="K109" s="22" t="s">
        <v>648</v>
      </c>
      <c r="L109" s="22" t="s">
        <v>561</v>
      </c>
      <c r="M109" s="22">
        <v>5</v>
      </c>
      <c r="N109" s="22">
        <v>6</v>
      </c>
      <c r="O109" s="22">
        <v>8</v>
      </c>
      <c r="P109" s="22">
        <v>5</v>
      </c>
      <c r="Q109" s="20" t="s">
        <v>500</v>
      </c>
      <c r="R109" s="20" t="s">
        <v>640</v>
      </c>
    </row>
    <row r="110" spans="1:18" ht="45">
      <c r="A110" s="19">
        <v>110</v>
      </c>
      <c r="B110" s="19" t="s">
        <v>363</v>
      </c>
      <c r="C110" s="20" t="s">
        <v>278</v>
      </c>
      <c r="D110" s="20" t="s">
        <v>357</v>
      </c>
      <c r="E110" s="20" t="s">
        <v>364</v>
      </c>
      <c r="F110" s="19" t="s">
        <v>24</v>
      </c>
      <c r="G110" s="19" t="s">
        <v>25</v>
      </c>
      <c r="H110" s="19" t="s">
        <v>26</v>
      </c>
      <c r="I110" s="21">
        <f>'Feature Inventory'!J110/8</f>
        <v>5</v>
      </c>
      <c r="J110" s="21">
        <f>'Feature Inventory'!L110/8</f>
        <v>3</v>
      </c>
      <c r="K110" s="22" t="s">
        <v>648</v>
      </c>
      <c r="L110" s="22" t="s">
        <v>561</v>
      </c>
      <c r="M110" s="22">
        <v>5</v>
      </c>
      <c r="N110" s="22">
        <v>6</v>
      </c>
      <c r="O110" s="22">
        <v>8</v>
      </c>
      <c r="P110" s="22">
        <v>5</v>
      </c>
      <c r="Q110" s="20" t="s">
        <v>500</v>
      </c>
      <c r="R110" s="20" t="s">
        <v>640</v>
      </c>
    </row>
    <row r="111" spans="1:18" ht="45">
      <c r="A111" s="19">
        <v>111</v>
      </c>
      <c r="B111" s="19" t="s">
        <v>366</v>
      </c>
      <c r="C111" s="20" t="s">
        <v>278</v>
      </c>
      <c r="D111" s="20" t="s">
        <v>357</v>
      </c>
      <c r="E111" s="20" t="s">
        <v>367</v>
      </c>
      <c r="F111" s="19" t="s">
        <v>24</v>
      </c>
      <c r="G111" s="19" t="s">
        <v>46</v>
      </c>
      <c r="H111" s="19" t="s">
        <v>26</v>
      </c>
      <c r="I111" s="21">
        <f>'Feature Inventory'!J111/8</f>
        <v>5</v>
      </c>
      <c r="J111" s="21">
        <f>'Feature Inventory'!L111/8</f>
        <v>3</v>
      </c>
      <c r="K111" s="22" t="s">
        <v>648</v>
      </c>
      <c r="L111" s="22" t="s">
        <v>561</v>
      </c>
      <c r="M111" s="22">
        <v>5</v>
      </c>
      <c r="N111" s="22">
        <v>6</v>
      </c>
      <c r="O111" s="22">
        <v>8</v>
      </c>
      <c r="P111" s="22">
        <v>5</v>
      </c>
      <c r="Q111" s="20" t="s">
        <v>500</v>
      </c>
      <c r="R111" s="20" t="s">
        <v>640</v>
      </c>
    </row>
    <row r="112" spans="1:18" ht="45">
      <c r="A112" s="19">
        <v>112</v>
      </c>
      <c r="B112" s="19" t="s">
        <v>369</v>
      </c>
      <c r="C112" s="20" t="s">
        <v>278</v>
      </c>
      <c r="D112" s="20" t="s">
        <v>357</v>
      </c>
      <c r="E112" s="20" t="s">
        <v>370</v>
      </c>
      <c r="F112" s="19" t="s">
        <v>24</v>
      </c>
      <c r="G112" s="19" t="s">
        <v>46</v>
      </c>
      <c r="H112" s="19" t="s">
        <v>26</v>
      </c>
      <c r="I112" s="21">
        <f>'Feature Inventory'!J112/8</f>
        <v>5</v>
      </c>
      <c r="J112" s="21">
        <f>'Feature Inventory'!L112/8</f>
        <v>3</v>
      </c>
      <c r="K112" s="22" t="s">
        <v>648</v>
      </c>
      <c r="L112" s="22" t="s">
        <v>561</v>
      </c>
      <c r="M112" s="22">
        <v>5</v>
      </c>
      <c r="N112" s="22">
        <v>6</v>
      </c>
      <c r="O112" s="22">
        <v>8</v>
      </c>
      <c r="P112" s="22">
        <v>5</v>
      </c>
      <c r="Q112" s="20" t="s">
        <v>500</v>
      </c>
      <c r="R112" s="20" t="s">
        <v>640</v>
      </c>
    </row>
    <row r="113" spans="1:18" ht="45">
      <c r="A113" s="19">
        <v>113</v>
      </c>
      <c r="B113" s="19" t="s">
        <v>372</v>
      </c>
      <c r="C113" s="20" t="s">
        <v>278</v>
      </c>
      <c r="D113" s="20" t="s">
        <v>357</v>
      </c>
      <c r="E113" s="20" t="s">
        <v>373</v>
      </c>
      <c r="F113" s="19" t="s">
        <v>24</v>
      </c>
      <c r="G113" s="19" t="s">
        <v>46</v>
      </c>
      <c r="H113" s="19" t="s">
        <v>26</v>
      </c>
      <c r="I113" s="21">
        <f>'Feature Inventory'!J113/8</f>
        <v>5</v>
      </c>
      <c r="J113" s="21">
        <f>'Feature Inventory'!L113/8</f>
        <v>3</v>
      </c>
      <c r="K113" s="22" t="s">
        <v>648</v>
      </c>
      <c r="L113" s="22" t="s">
        <v>561</v>
      </c>
      <c r="M113" s="22">
        <v>5</v>
      </c>
      <c r="N113" s="22">
        <v>6</v>
      </c>
      <c r="O113" s="22">
        <v>8</v>
      </c>
      <c r="P113" s="22">
        <v>5</v>
      </c>
      <c r="Q113" s="20" t="s">
        <v>500</v>
      </c>
      <c r="R113" s="20" t="s">
        <v>640</v>
      </c>
    </row>
    <row r="114" spans="1:18" ht="45">
      <c r="A114" s="19">
        <v>114</v>
      </c>
      <c r="B114" s="19" t="s">
        <v>375</v>
      </c>
      <c r="C114" s="20" t="s">
        <v>278</v>
      </c>
      <c r="D114" s="20" t="s">
        <v>357</v>
      </c>
      <c r="E114" s="20" t="s">
        <v>376</v>
      </c>
      <c r="F114" s="19" t="s">
        <v>24</v>
      </c>
      <c r="G114" s="19" t="s">
        <v>46</v>
      </c>
      <c r="H114" s="19" t="s">
        <v>26</v>
      </c>
      <c r="I114" s="21">
        <f>'Feature Inventory'!J114/8</f>
        <v>5</v>
      </c>
      <c r="J114" s="21">
        <f>'Feature Inventory'!L114/8</f>
        <v>3</v>
      </c>
      <c r="K114" s="22" t="s">
        <v>648</v>
      </c>
      <c r="L114" s="22" t="s">
        <v>561</v>
      </c>
      <c r="M114" s="22">
        <v>5</v>
      </c>
      <c r="N114" s="22">
        <v>6</v>
      </c>
      <c r="O114" s="22">
        <v>8</v>
      </c>
      <c r="P114" s="22">
        <v>5</v>
      </c>
      <c r="Q114" s="20" t="s">
        <v>500</v>
      </c>
      <c r="R114" s="20" t="s">
        <v>640</v>
      </c>
    </row>
    <row r="115" spans="1:18" ht="45">
      <c r="A115" s="19">
        <v>115</v>
      </c>
      <c r="B115" s="19" t="s">
        <v>378</v>
      </c>
      <c r="C115" s="20" t="s">
        <v>278</v>
      </c>
      <c r="D115" s="20" t="s">
        <v>357</v>
      </c>
      <c r="E115" s="20" t="s">
        <v>379</v>
      </c>
      <c r="F115" s="19" t="s">
        <v>24</v>
      </c>
      <c r="G115" s="19" t="s">
        <v>25</v>
      </c>
      <c r="H115" s="19" t="s">
        <v>26</v>
      </c>
      <c r="I115" s="21">
        <f>'Feature Inventory'!J115/8</f>
        <v>7</v>
      </c>
      <c r="J115" s="21">
        <f>'Feature Inventory'!L115/8</f>
        <v>4</v>
      </c>
      <c r="K115" s="22" t="s">
        <v>648</v>
      </c>
      <c r="L115" s="22" t="s">
        <v>561</v>
      </c>
      <c r="M115" s="22">
        <v>7</v>
      </c>
      <c r="N115" s="22">
        <v>9</v>
      </c>
      <c r="O115" s="22">
        <v>11</v>
      </c>
      <c r="P115" s="22">
        <v>7</v>
      </c>
      <c r="Q115" s="20" t="s">
        <v>500</v>
      </c>
      <c r="R115" s="20" t="s">
        <v>640</v>
      </c>
    </row>
    <row r="116" spans="1:18" ht="45">
      <c r="A116" s="19">
        <v>116</v>
      </c>
      <c r="B116" s="19" t="s">
        <v>381</v>
      </c>
      <c r="C116" s="20" t="s">
        <v>278</v>
      </c>
      <c r="D116" s="20" t="s">
        <v>382</v>
      </c>
      <c r="E116" s="20" t="s">
        <v>383</v>
      </c>
      <c r="F116" s="19" t="s">
        <v>24</v>
      </c>
      <c r="G116" s="19" t="s">
        <v>25</v>
      </c>
      <c r="H116" s="19" t="s">
        <v>18</v>
      </c>
      <c r="I116" s="21">
        <f>'Feature Inventory'!J116/8</f>
        <v>10</v>
      </c>
      <c r="J116" s="21">
        <f>'Feature Inventory'!L116/8</f>
        <v>7</v>
      </c>
      <c r="K116" s="22" t="s">
        <v>648</v>
      </c>
      <c r="L116" s="22" t="s">
        <v>560</v>
      </c>
      <c r="M116" s="22">
        <v>14</v>
      </c>
      <c r="N116" s="22">
        <v>18</v>
      </c>
      <c r="O116" s="22">
        <v>24</v>
      </c>
      <c r="P116" s="22">
        <v>14</v>
      </c>
      <c r="Q116" s="20" t="s">
        <v>500</v>
      </c>
      <c r="R116" s="20" t="s">
        <v>642</v>
      </c>
    </row>
    <row r="117" spans="1:18" ht="45">
      <c r="A117" s="19">
        <v>117</v>
      </c>
      <c r="B117" s="19" t="s">
        <v>385</v>
      </c>
      <c r="C117" s="20" t="s">
        <v>278</v>
      </c>
      <c r="D117" s="20" t="s">
        <v>382</v>
      </c>
      <c r="E117" s="20" t="s">
        <v>386</v>
      </c>
      <c r="F117" s="19" t="s">
        <v>24</v>
      </c>
      <c r="G117" s="19" t="s">
        <v>25</v>
      </c>
      <c r="H117" s="19" t="s">
        <v>26</v>
      </c>
      <c r="I117" s="21">
        <f>'Feature Inventory'!J117/8</f>
        <v>6</v>
      </c>
      <c r="J117" s="21">
        <f>'Feature Inventory'!L117/8</f>
        <v>4</v>
      </c>
      <c r="K117" s="22" t="s">
        <v>649</v>
      </c>
      <c r="L117" s="22" t="s">
        <v>561</v>
      </c>
      <c r="M117" s="22">
        <v>5</v>
      </c>
      <c r="N117" s="22">
        <v>7</v>
      </c>
      <c r="O117" s="22">
        <v>10</v>
      </c>
      <c r="P117" s="22">
        <v>6</v>
      </c>
      <c r="Q117" s="20" t="s">
        <v>500</v>
      </c>
      <c r="R117" s="20" t="s">
        <v>640</v>
      </c>
    </row>
    <row r="118" spans="1:18" ht="45">
      <c r="A118" s="19">
        <v>118</v>
      </c>
      <c r="B118" s="19" t="s">
        <v>388</v>
      </c>
      <c r="C118" s="20" t="s">
        <v>278</v>
      </c>
      <c r="D118" s="20" t="s">
        <v>382</v>
      </c>
      <c r="E118" s="20" t="s">
        <v>389</v>
      </c>
      <c r="F118" s="19" t="s">
        <v>24</v>
      </c>
      <c r="G118" s="19" t="s">
        <v>25</v>
      </c>
      <c r="H118" s="19" t="s">
        <v>26</v>
      </c>
      <c r="I118" s="21">
        <f>'Feature Inventory'!J118/8</f>
        <v>8</v>
      </c>
      <c r="J118" s="21">
        <f>'Feature Inventory'!L118/8</f>
        <v>5</v>
      </c>
      <c r="K118" s="22" t="s">
        <v>650</v>
      </c>
      <c r="L118" s="22" t="s">
        <v>561</v>
      </c>
      <c r="M118" s="22">
        <v>9</v>
      </c>
      <c r="N118" s="22">
        <v>11</v>
      </c>
      <c r="O118" s="22">
        <v>14</v>
      </c>
      <c r="P118" s="22">
        <v>8</v>
      </c>
      <c r="Q118" s="20" t="s">
        <v>500</v>
      </c>
      <c r="R118" s="20" t="s">
        <v>640</v>
      </c>
    </row>
    <row r="119" spans="1:18" ht="45">
      <c r="A119" s="19">
        <v>119</v>
      </c>
      <c r="B119" s="19" t="s">
        <v>391</v>
      </c>
      <c r="C119" s="20" t="s">
        <v>278</v>
      </c>
      <c r="D119" s="20" t="s">
        <v>382</v>
      </c>
      <c r="E119" s="20" t="s">
        <v>392</v>
      </c>
      <c r="F119" s="19" t="s">
        <v>24</v>
      </c>
      <c r="G119" s="19" t="s">
        <v>25</v>
      </c>
      <c r="H119" s="19" t="s">
        <v>26</v>
      </c>
      <c r="I119" s="21">
        <f>'Feature Inventory'!J119/8</f>
        <v>8</v>
      </c>
      <c r="J119" s="21">
        <f>'Feature Inventory'!L119/8</f>
        <v>5</v>
      </c>
      <c r="K119" s="22" t="s">
        <v>650</v>
      </c>
      <c r="L119" s="22" t="s">
        <v>561</v>
      </c>
      <c r="M119" s="22">
        <v>9</v>
      </c>
      <c r="N119" s="22">
        <v>11</v>
      </c>
      <c r="O119" s="22">
        <v>14</v>
      </c>
      <c r="P119" s="22">
        <v>8</v>
      </c>
      <c r="Q119" s="20" t="s">
        <v>500</v>
      </c>
      <c r="R119" s="20" t="s">
        <v>640</v>
      </c>
    </row>
    <row r="120" spans="1:18" ht="45">
      <c r="A120" s="19">
        <v>120</v>
      </c>
      <c r="B120" s="19" t="s">
        <v>394</v>
      </c>
      <c r="C120" s="20" t="s">
        <v>278</v>
      </c>
      <c r="D120" s="20" t="s">
        <v>382</v>
      </c>
      <c r="E120" s="20" t="s">
        <v>395</v>
      </c>
      <c r="F120" s="19" t="s">
        <v>128</v>
      </c>
      <c r="G120" s="19" t="s">
        <v>25</v>
      </c>
      <c r="H120" s="19" t="s">
        <v>18</v>
      </c>
      <c r="I120" s="21">
        <f>'Feature Inventory'!J120/8</f>
        <v>16</v>
      </c>
      <c r="J120" s="21">
        <f>'Feature Inventory'!L120/8</f>
        <v>11</v>
      </c>
      <c r="K120" s="22" t="s">
        <v>651</v>
      </c>
      <c r="L120" s="22" t="s">
        <v>560</v>
      </c>
      <c r="M120" s="22">
        <v>26</v>
      </c>
      <c r="N120" s="22">
        <v>34</v>
      </c>
      <c r="O120" s="22">
        <v>48</v>
      </c>
      <c r="P120" s="22">
        <v>29</v>
      </c>
      <c r="Q120" s="20" t="s">
        <v>500</v>
      </c>
      <c r="R120" s="20" t="s">
        <v>642</v>
      </c>
    </row>
    <row r="121" spans="1:18" ht="45">
      <c r="A121" s="19">
        <v>121</v>
      </c>
      <c r="B121" s="19" t="s">
        <v>397</v>
      </c>
      <c r="C121" s="20" t="s">
        <v>278</v>
      </c>
      <c r="D121" s="20" t="s">
        <v>398</v>
      </c>
      <c r="E121" s="20" t="s">
        <v>399</v>
      </c>
      <c r="F121" s="19" t="s">
        <v>24</v>
      </c>
      <c r="G121" s="19" t="s">
        <v>25</v>
      </c>
      <c r="H121" s="19" t="s">
        <v>26</v>
      </c>
      <c r="I121" s="21">
        <f>'Feature Inventory'!J121/8</f>
        <v>7</v>
      </c>
      <c r="J121" s="21">
        <f>'Feature Inventory'!L121/8</f>
        <v>4</v>
      </c>
      <c r="K121" s="22" t="s">
        <v>648</v>
      </c>
      <c r="L121" s="22" t="s">
        <v>561</v>
      </c>
      <c r="M121" s="22">
        <v>7</v>
      </c>
      <c r="N121" s="22">
        <v>9</v>
      </c>
      <c r="O121" s="22">
        <v>11</v>
      </c>
      <c r="P121" s="22">
        <v>7</v>
      </c>
      <c r="Q121" s="20" t="s">
        <v>500</v>
      </c>
      <c r="R121" s="20" t="s">
        <v>640</v>
      </c>
    </row>
    <row r="122" spans="1:18" ht="45">
      <c r="A122" s="19">
        <v>122</v>
      </c>
      <c r="B122" s="19" t="s">
        <v>401</v>
      </c>
      <c r="C122" s="20" t="s">
        <v>278</v>
      </c>
      <c r="D122" s="20" t="s">
        <v>398</v>
      </c>
      <c r="E122" s="20" t="s">
        <v>402</v>
      </c>
      <c r="F122" s="19" t="s">
        <v>128</v>
      </c>
      <c r="G122" s="19" t="s">
        <v>132</v>
      </c>
      <c r="H122" s="19" t="s">
        <v>18</v>
      </c>
      <c r="I122" s="21">
        <f>'Feature Inventory'!J122/8</f>
        <v>10</v>
      </c>
      <c r="J122" s="21">
        <f>'Feature Inventory'!L122/8</f>
        <v>6</v>
      </c>
      <c r="K122" s="22" t="s">
        <v>650</v>
      </c>
      <c r="L122" s="22" t="s">
        <v>561</v>
      </c>
      <c r="M122" s="22">
        <v>12</v>
      </c>
      <c r="N122" s="22">
        <v>14</v>
      </c>
      <c r="O122" s="22">
        <v>18</v>
      </c>
      <c r="P122" s="22">
        <v>10</v>
      </c>
      <c r="Q122" s="20" t="s">
        <v>500</v>
      </c>
      <c r="R122" s="20" t="s">
        <v>640</v>
      </c>
    </row>
    <row r="123" spans="1:18" ht="45">
      <c r="A123" s="19">
        <v>123</v>
      </c>
      <c r="B123" s="19" t="s">
        <v>404</v>
      </c>
      <c r="C123" s="20" t="s">
        <v>278</v>
      </c>
      <c r="D123" s="20" t="s">
        <v>398</v>
      </c>
      <c r="E123" s="20" t="s">
        <v>405</v>
      </c>
      <c r="F123" s="19" t="s">
        <v>128</v>
      </c>
      <c r="G123" s="19" t="s">
        <v>132</v>
      </c>
      <c r="H123" s="19" t="s">
        <v>18</v>
      </c>
      <c r="I123" s="21">
        <f>'Feature Inventory'!J123/8</f>
        <v>16</v>
      </c>
      <c r="J123" s="21">
        <f>'Feature Inventory'!L123/8</f>
        <v>11</v>
      </c>
      <c r="K123" s="22" t="s">
        <v>651</v>
      </c>
      <c r="L123" s="22" t="s">
        <v>560</v>
      </c>
      <c r="M123" s="22">
        <v>22</v>
      </c>
      <c r="N123" s="22">
        <v>29</v>
      </c>
      <c r="O123" s="22">
        <v>38</v>
      </c>
      <c r="P123" s="22">
        <v>24</v>
      </c>
      <c r="Q123" s="20" t="s">
        <v>500</v>
      </c>
      <c r="R123" s="20" t="s">
        <v>642</v>
      </c>
    </row>
    <row r="124" spans="1:18" ht="45">
      <c r="A124" s="19">
        <v>124</v>
      </c>
      <c r="B124" s="19" t="s">
        <v>407</v>
      </c>
      <c r="C124" s="20" t="s">
        <v>278</v>
      </c>
      <c r="D124" s="20" t="s">
        <v>398</v>
      </c>
      <c r="E124" s="20" t="s">
        <v>408</v>
      </c>
      <c r="F124" s="19" t="s">
        <v>128</v>
      </c>
      <c r="G124" s="19" t="s">
        <v>132</v>
      </c>
      <c r="H124" s="19" t="s">
        <v>18</v>
      </c>
      <c r="I124" s="21">
        <f>'Feature Inventory'!J124/8</f>
        <v>8</v>
      </c>
      <c r="J124" s="21">
        <f>'Feature Inventory'!L124/8</f>
        <v>5</v>
      </c>
      <c r="K124" s="22" t="s">
        <v>650</v>
      </c>
      <c r="L124" s="22" t="s">
        <v>561</v>
      </c>
      <c r="M124" s="22">
        <v>9</v>
      </c>
      <c r="N124" s="22">
        <v>11</v>
      </c>
      <c r="O124" s="22">
        <v>14</v>
      </c>
      <c r="P124" s="22">
        <v>8</v>
      </c>
      <c r="Q124" s="20" t="s">
        <v>500</v>
      </c>
      <c r="R124" s="20" t="s">
        <v>640</v>
      </c>
    </row>
    <row r="125" spans="1:18" ht="45">
      <c r="A125" s="19">
        <v>125</v>
      </c>
      <c r="B125" s="19" t="s">
        <v>410</v>
      </c>
      <c r="C125" s="20" t="s">
        <v>278</v>
      </c>
      <c r="D125" s="20" t="s">
        <v>398</v>
      </c>
      <c r="E125" s="20" t="s">
        <v>411</v>
      </c>
      <c r="F125" s="19" t="s">
        <v>24</v>
      </c>
      <c r="G125" s="19" t="s">
        <v>25</v>
      </c>
      <c r="H125" s="19" t="s">
        <v>26</v>
      </c>
      <c r="I125" s="21">
        <f>'Feature Inventory'!J125/8</f>
        <v>8</v>
      </c>
      <c r="J125" s="21">
        <f>'Feature Inventory'!L125/8</f>
        <v>5</v>
      </c>
      <c r="K125" s="22" t="s">
        <v>644</v>
      </c>
      <c r="L125" s="22" t="s">
        <v>560</v>
      </c>
      <c r="M125" s="22">
        <v>12</v>
      </c>
      <c r="N125" s="22">
        <v>16</v>
      </c>
      <c r="O125" s="22">
        <v>22</v>
      </c>
      <c r="P125" s="22">
        <v>14</v>
      </c>
      <c r="Q125" s="20" t="s">
        <v>500</v>
      </c>
      <c r="R125" s="20" t="s">
        <v>642</v>
      </c>
    </row>
    <row r="126" spans="1:18" ht="45">
      <c r="A126" s="19">
        <v>126</v>
      </c>
      <c r="B126" s="19" t="s">
        <v>413</v>
      </c>
      <c r="C126" s="20" t="s">
        <v>278</v>
      </c>
      <c r="D126" s="20" t="s">
        <v>398</v>
      </c>
      <c r="E126" s="20" t="s">
        <v>414</v>
      </c>
      <c r="F126" s="19" t="s">
        <v>24</v>
      </c>
      <c r="G126" s="19" t="s">
        <v>25</v>
      </c>
      <c r="H126" s="19" t="s">
        <v>18</v>
      </c>
      <c r="I126" s="21">
        <f>'Feature Inventory'!J126/8</f>
        <v>14</v>
      </c>
      <c r="J126" s="21">
        <f>'Feature Inventory'!L126/8</f>
        <v>10</v>
      </c>
      <c r="K126" s="22" t="s">
        <v>651</v>
      </c>
      <c r="L126" s="22" t="s">
        <v>564</v>
      </c>
      <c r="M126" s="22">
        <v>3</v>
      </c>
      <c r="N126" s="22">
        <v>5</v>
      </c>
      <c r="O126" s="22">
        <v>8</v>
      </c>
      <c r="P126" s="22">
        <v>4</v>
      </c>
      <c r="Q126" s="20" t="s">
        <v>637</v>
      </c>
      <c r="R126" s="20" t="s">
        <v>652</v>
      </c>
    </row>
    <row r="127" spans="1:18" ht="45">
      <c r="A127" s="19">
        <v>127</v>
      </c>
      <c r="B127" s="19" t="s">
        <v>416</v>
      </c>
      <c r="C127" s="20" t="s">
        <v>417</v>
      </c>
      <c r="D127" s="20" t="s">
        <v>418</v>
      </c>
      <c r="E127" s="20" t="s">
        <v>419</v>
      </c>
      <c r="F127" s="19" t="s">
        <v>24</v>
      </c>
      <c r="G127" s="19" t="s">
        <v>25</v>
      </c>
      <c r="H127" s="19" t="s">
        <v>18</v>
      </c>
      <c r="I127" s="21">
        <f>'Feature Inventory'!J127/8</f>
        <v>20</v>
      </c>
      <c r="J127" s="21">
        <f>'Feature Inventory'!L127/8</f>
        <v>16</v>
      </c>
      <c r="K127" s="22" t="s">
        <v>653</v>
      </c>
      <c r="L127" s="22" t="s">
        <v>563</v>
      </c>
      <c r="M127" s="22">
        <v>28</v>
      </c>
      <c r="N127" s="22">
        <v>35</v>
      </c>
      <c r="O127" s="22">
        <v>48</v>
      </c>
      <c r="P127" s="22">
        <v>29</v>
      </c>
      <c r="Q127" s="20" t="s">
        <v>500</v>
      </c>
      <c r="R127" s="20" t="s">
        <v>654</v>
      </c>
    </row>
    <row r="128" spans="1:18" ht="45">
      <c r="A128" s="19">
        <v>128</v>
      </c>
      <c r="B128" s="19" t="s">
        <v>421</v>
      </c>
      <c r="C128" s="20" t="s">
        <v>417</v>
      </c>
      <c r="D128" s="20" t="s">
        <v>418</v>
      </c>
      <c r="E128" s="20" t="s">
        <v>422</v>
      </c>
      <c r="F128" s="19" t="s">
        <v>24</v>
      </c>
      <c r="G128" s="19" t="s">
        <v>25</v>
      </c>
      <c r="H128" s="19" t="s">
        <v>18</v>
      </c>
      <c r="I128" s="21">
        <f>'Feature Inventory'!J128/8</f>
        <v>20</v>
      </c>
      <c r="J128" s="21">
        <f>'Feature Inventory'!L128/8</f>
        <v>16</v>
      </c>
      <c r="K128" s="22" t="s">
        <v>649</v>
      </c>
      <c r="L128" s="22" t="s">
        <v>563</v>
      </c>
      <c r="M128" s="22">
        <v>34</v>
      </c>
      <c r="N128" s="22">
        <v>45</v>
      </c>
      <c r="O128" s="22">
        <v>60</v>
      </c>
      <c r="P128" s="22">
        <v>38</v>
      </c>
      <c r="Q128" s="20" t="s">
        <v>500</v>
      </c>
      <c r="R128" s="20" t="s">
        <v>654</v>
      </c>
    </row>
    <row r="129" spans="1:18" ht="45">
      <c r="A129" s="19">
        <v>129</v>
      </c>
      <c r="B129" s="19" t="s">
        <v>424</v>
      </c>
      <c r="C129" s="20" t="s">
        <v>417</v>
      </c>
      <c r="D129" s="20" t="s">
        <v>418</v>
      </c>
      <c r="E129" s="20" t="s">
        <v>425</v>
      </c>
      <c r="F129" s="19" t="s">
        <v>24</v>
      </c>
      <c r="G129" s="19" t="s">
        <v>25</v>
      </c>
      <c r="H129" s="19" t="s">
        <v>26</v>
      </c>
      <c r="I129" s="21">
        <f>'Feature Inventory'!J129/8</f>
        <v>10</v>
      </c>
      <c r="J129" s="21">
        <f>'Feature Inventory'!L129/8</f>
        <v>8</v>
      </c>
      <c r="K129" s="22" t="s">
        <v>649</v>
      </c>
      <c r="L129" s="22" t="s">
        <v>563</v>
      </c>
      <c r="M129" s="22">
        <v>9</v>
      </c>
      <c r="N129" s="22">
        <v>12</v>
      </c>
      <c r="O129" s="22">
        <v>16</v>
      </c>
      <c r="P129" s="22">
        <v>10</v>
      </c>
      <c r="Q129" s="20" t="s">
        <v>500</v>
      </c>
      <c r="R129" s="20" t="s">
        <v>654</v>
      </c>
    </row>
    <row r="130" spans="1:18" ht="45">
      <c r="A130" s="19">
        <v>130</v>
      </c>
      <c r="B130" s="19" t="s">
        <v>427</v>
      </c>
      <c r="C130" s="20" t="s">
        <v>417</v>
      </c>
      <c r="D130" s="20" t="s">
        <v>418</v>
      </c>
      <c r="E130" s="20" t="s">
        <v>428</v>
      </c>
      <c r="F130" s="19" t="s">
        <v>24</v>
      </c>
      <c r="G130" s="19" t="s">
        <v>25</v>
      </c>
      <c r="H130" s="19" t="s">
        <v>26</v>
      </c>
      <c r="I130" s="21">
        <f>'Feature Inventory'!J130/8</f>
        <v>12</v>
      </c>
      <c r="J130" s="21">
        <f>'Feature Inventory'!L130/8</f>
        <v>7</v>
      </c>
      <c r="K130" s="22" t="s">
        <v>650</v>
      </c>
      <c r="L130" s="22" t="s">
        <v>563</v>
      </c>
      <c r="M130" s="22">
        <v>14</v>
      </c>
      <c r="N130" s="22">
        <v>18</v>
      </c>
      <c r="O130" s="22">
        <v>26</v>
      </c>
      <c r="P130" s="22">
        <v>14</v>
      </c>
      <c r="Q130" s="20" t="s">
        <v>500</v>
      </c>
      <c r="R130" s="20" t="s">
        <v>654</v>
      </c>
    </row>
    <row r="131" spans="1:18" ht="45">
      <c r="A131" s="19">
        <v>131</v>
      </c>
      <c r="B131" s="19" t="s">
        <v>430</v>
      </c>
      <c r="C131" s="20" t="s">
        <v>417</v>
      </c>
      <c r="D131" s="20" t="s">
        <v>418</v>
      </c>
      <c r="E131" s="20" t="s">
        <v>431</v>
      </c>
      <c r="F131" s="19" t="s">
        <v>24</v>
      </c>
      <c r="G131" s="19" t="s">
        <v>25</v>
      </c>
      <c r="H131" s="19" t="s">
        <v>18</v>
      </c>
      <c r="I131" s="21">
        <f>'Feature Inventory'!J131/8</f>
        <v>28</v>
      </c>
      <c r="J131" s="21">
        <f>'Feature Inventory'!L131/8</f>
        <v>20</v>
      </c>
      <c r="K131" s="22" t="s">
        <v>651</v>
      </c>
      <c r="L131" s="22" t="s">
        <v>563</v>
      </c>
      <c r="M131" s="22">
        <v>42</v>
      </c>
      <c r="N131" s="22">
        <v>55</v>
      </c>
      <c r="O131" s="22">
        <v>75</v>
      </c>
      <c r="P131" s="22">
        <v>46</v>
      </c>
      <c r="Q131" s="20" t="s">
        <v>500</v>
      </c>
      <c r="R131" s="20" t="s">
        <v>654</v>
      </c>
    </row>
    <row r="132" spans="1:18" ht="45">
      <c r="A132" s="19">
        <v>132</v>
      </c>
      <c r="B132" s="19" t="s">
        <v>433</v>
      </c>
      <c r="C132" s="20" t="s">
        <v>417</v>
      </c>
      <c r="D132" s="20" t="s">
        <v>418</v>
      </c>
      <c r="E132" s="20" t="s">
        <v>434</v>
      </c>
      <c r="F132" s="19" t="s">
        <v>24</v>
      </c>
      <c r="G132" s="19" t="s">
        <v>25</v>
      </c>
      <c r="H132" s="19" t="s">
        <v>18</v>
      </c>
      <c r="I132" s="21">
        <f>'Feature Inventory'!J132/8</f>
        <v>22</v>
      </c>
      <c r="J132" s="21">
        <f>'Feature Inventory'!L132/8</f>
        <v>18</v>
      </c>
      <c r="K132" s="22" t="s">
        <v>653</v>
      </c>
      <c r="L132" s="22" t="s">
        <v>563</v>
      </c>
      <c r="M132" s="22">
        <v>38</v>
      </c>
      <c r="N132" s="22">
        <v>50</v>
      </c>
      <c r="O132" s="22">
        <v>70</v>
      </c>
      <c r="P132" s="22">
        <v>45</v>
      </c>
      <c r="Q132" s="20" t="s">
        <v>500</v>
      </c>
      <c r="R132" s="20" t="s">
        <v>654</v>
      </c>
    </row>
    <row r="133" spans="1:18" ht="45">
      <c r="A133" s="19">
        <v>133</v>
      </c>
      <c r="B133" s="19" t="s">
        <v>436</v>
      </c>
      <c r="C133" s="20" t="s">
        <v>417</v>
      </c>
      <c r="D133" s="20" t="s">
        <v>418</v>
      </c>
      <c r="E133" s="20" t="s">
        <v>437</v>
      </c>
      <c r="F133" s="19" t="s">
        <v>24</v>
      </c>
      <c r="G133" s="19" t="s">
        <v>25</v>
      </c>
      <c r="H133" s="19" t="s">
        <v>26</v>
      </c>
      <c r="I133" s="21">
        <f>'Feature Inventory'!J133/8</f>
        <v>8</v>
      </c>
      <c r="J133" s="21">
        <f>'Feature Inventory'!L133/8</f>
        <v>4</v>
      </c>
      <c r="K133" s="22" t="s">
        <v>649</v>
      </c>
      <c r="L133" s="22" t="s">
        <v>563</v>
      </c>
      <c r="M133" s="22">
        <v>12</v>
      </c>
      <c r="N133" s="22">
        <v>16</v>
      </c>
      <c r="O133" s="22">
        <v>22</v>
      </c>
      <c r="P133" s="22">
        <v>12</v>
      </c>
      <c r="Q133" s="20" t="s">
        <v>500</v>
      </c>
      <c r="R133" s="20" t="s">
        <v>654</v>
      </c>
    </row>
    <row r="134" spans="1:18" ht="45">
      <c r="A134" s="19">
        <v>134</v>
      </c>
      <c r="B134" s="19" t="s">
        <v>439</v>
      </c>
      <c r="C134" s="20" t="s">
        <v>417</v>
      </c>
      <c r="D134" s="20" t="s">
        <v>418</v>
      </c>
      <c r="E134" s="20" t="s">
        <v>440</v>
      </c>
      <c r="F134" s="19" t="s">
        <v>24</v>
      </c>
      <c r="G134" s="19" t="s">
        <v>25</v>
      </c>
      <c r="H134" s="19" t="s">
        <v>26</v>
      </c>
      <c r="I134" s="21">
        <f>'Feature Inventory'!J134/8</f>
        <v>8</v>
      </c>
      <c r="J134" s="21">
        <f>'Feature Inventory'!L134/8</f>
        <v>5</v>
      </c>
      <c r="K134" s="22" t="s">
        <v>641</v>
      </c>
      <c r="L134" s="22" t="s">
        <v>563</v>
      </c>
      <c r="M134" s="22">
        <v>24</v>
      </c>
      <c r="N134" s="22">
        <v>35</v>
      </c>
      <c r="O134" s="22">
        <v>55</v>
      </c>
      <c r="P134" s="22">
        <v>31</v>
      </c>
      <c r="Q134" s="20" t="s">
        <v>500</v>
      </c>
      <c r="R134" s="20" t="s">
        <v>654</v>
      </c>
    </row>
    <row r="135" spans="1:18" ht="45">
      <c r="A135" s="19">
        <v>135</v>
      </c>
      <c r="B135" s="19" t="s">
        <v>442</v>
      </c>
      <c r="C135" s="20" t="s">
        <v>417</v>
      </c>
      <c r="D135" s="20" t="s">
        <v>418</v>
      </c>
      <c r="E135" s="20" t="s">
        <v>443</v>
      </c>
      <c r="F135" s="19" t="s">
        <v>24</v>
      </c>
      <c r="G135" s="19" t="s">
        <v>25</v>
      </c>
      <c r="H135" s="19" t="s">
        <v>26</v>
      </c>
      <c r="I135" s="21">
        <f>'Feature Inventory'!J135/8</f>
        <v>8</v>
      </c>
      <c r="J135" s="21">
        <f>'Feature Inventory'!L135/8</f>
        <v>6</v>
      </c>
      <c r="K135" s="22" t="s">
        <v>653</v>
      </c>
      <c r="L135" s="22" t="s">
        <v>563</v>
      </c>
      <c r="M135" s="22">
        <v>15</v>
      </c>
      <c r="N135" s="22">
        <v>20</v>
      </c>
      <c r="O135" s="22">
        <v>30</v>
      </c>
      <c r="P135" s="22">
        <v>18</v>
      </c>
      <c r="Q135" s="20" t="s">
        <v>500</v>
      </c>
      <c r="R135" s="20" t="s">
        <v>654</v>
      </c>
    </row>
    <row r="136" spans="1:18" ht="45">
      <c r="A136" s="19">
        <v>136</v>
      </c>
      <c r="B136" s="19" t="s">
        <v>445</v>
      </c>
      <c r="C136" s="20" t="s">
        <v>417</v>
      </c>
      <c r="D136" s="20" t="s">
        <v>418</v>
      </c>
      <c r="E136" s="20" t="s">
        <v>446</v>
      </c>
      <c r="F136" s="19" t="s">
        <v>24</v>
      </c>
      <c r="G136" s="19" t="s">
        <v>25</v>
      </c>
      <c r="H136" s="19" t="s">
        <v>15</v>
      </c>
      <c r="I136" s="21">
        <f>'Feature Inventory'!J136/8</f>
        <v>5</v>
      </c>
      <c r="J136" s="21">
        <f>'Feature Inventory'!L136/8</f>
        <v>5</v>
      </c>
      <c r="K136" s="22" t="s">
        <v>653</v>
      </c>
      <c r="L136" s="22" t="s">
        <v>563</v>
      </c>
      <c r="M136" s="22">
        <v>7</v>
      </c>
      <c r="N136" s="22">
        <v>9</v>
      </c>
      <c r="O136" s="22">
        <v>12</v>
      </c>
      <c r="P136" s="22">
        <v>8</v>
      </c>
      <c r="Q136" s="20" t="s">
        <v>500</v>
      </c>
      <c r="R136" s="20" t="s">
        <v>654</v>
      </c>
    </row>
    <row r="137" spans="1:18" ht="45">
      <c r="A137" s="19">
        <v>137</v>
      </c>
      <c r="B137" s="19" t="s">
        <v>448</v>
      </c>
      <c r="C137" s="20" t="s">
        <v>417</v>
      </c>
      <c r="D137" s="20" t="s">
        <v>418</v>
      </c>
      <c r="E137" s="20" t="s">
        <v>449</v>
      </c>
      <c r="F137" s="19" t="s">
        <v>24</v>
      </c>
      <c r="G137" s="19" t="s">
        <v>25</v>
      </c>
      <c r="H137" s="19" t="s">
        <v>18</v>
      </c>
      <c r="I137" s="21">
        <f>'Feature Inventory'!J137/8</f>
        <v>20</v>
      </c>
      <c r="J137" s="21">
        <f>'Feature Inventory'!L137/8</f>
        <v>18</v>
      </c>
      <c r="K137" s="22" t="s">
        <v>653</v>
      </c>
      <c r="L137" s="22" t="s">
        <v>563</v>
      </c>
      <c r="M137" s="22">
        <v>40</v>
      </c>
      <c r="N137" s="22">
        <v>60</v>
      </c>
      <c r="O137" s="22">
        <v>90</v>
      </c>
      <c r="P137" s="22">
        <v>57</v>
      </c>
      <c r="Q137" s="20" t="s">
        <v>500</v>
      </c>
      <c r="R137" s="20" t="s">
        <v>654</v>
      </c>
    </row>
    <row r="138" spans="1:18" ht="45">
      <c r="A138" s="19">
        <v>138</v>
      </c>
      <c r="B138" s="19" t="s">
        <v>451</v>
      </c>
      <c r="C138" s="20" t="s">
        <v>20</v>
      </c>
      <c r="D138" s="20" t="s">
        <v>40</v>
      </c>
      <c r="E138" s="20" t="s">
        <v>452</v>
      </c>
      <c r="F138" s="19" t="s">
        <v>24</v>
      </c>
      <c r="G138" s="19" t="s">
        <v>25</v>
      </c>
      <c r="H138" s="19" t="s">
        <v>18</v>
      </c>
      <c r="I138" s="21">
        <f>'Feature Inventory'!J138/8</f>
        <v>15</v>
      </c>
      <c r="J138" s="21">
        <f>'Feature Inventory'!L138/8</f>
        <v>9</v>
      </c>
      <c r="K138" s="22" t="s">
        <v>641</v>
      </c>
      <c r="L138" s="22" t="s">
        <v>560</v>
      </c>
      <c r="M138" s="22">
        <v>22</v>
      </c>
      <c r="N138" s="22">
        <v>30</v>
      </c>
      <c r="O138" s="22">
        <v>42</v>
      </c>
      <c r="P138" s="22">
        <v>23</v>
      </c>
      <c r="Q138" s="20" t="s">
        <v>500</v>
      </c>
      <c r="R138" s="20" t="s">
        <v>642</v>
      </c>
    </row>
    <row r="139" spans="1:18" ht="45">
      <c r="A139" s="19">
        <v>139</v>
      </c>
      <c r="B139" s="19" t="s">
        <v>454</v>
      </c>
      <c r="C139" s="20" t="s">
        <v>20</v>
      </c>
      <c r="D139" s="20" t="s">
        <v>60</v>
      </c>
      <c r="E139" s="20" t="s">
        <v>455</v>
      </c>
      <c r="F139" s="19" t="s">
        <v>24</v>
      </c>
      <c r="G139" s="19" t="s">
        <v>25</v>
      </c>
      <c r="H139" s="19" t="s">
        <v>26</v>
      </c>
      <c r="I139" s="21">
        <f>'Feature Inventory'!J139/8</f>
        <v>6</v>
      </c>
      <c r="J139" s="21">
        <f>'Feature Inventory'!L139/8</f>
        <v>3</v>
      </c>
      <c r="K139" s="22" t="s">
        <v>641</v>
      </c>
      <c r="L139" s="22" t="s">
        <v>560</v>
      </c>
      <c r="M139" s="22">
        <v>8</v>
      </c>
      <c r="N139" s="22">
        <v>9</v>
      </c>
      <c r="O139" s="22">
        <v>13</v>
      </c>
      <c r="P139" s="22">
        <v>7</v>
      </c>
      <c r="Q139" s="20" t="s">
        <v>500</v>
      </c>
      <c r="R139" s="20" t="s">
        <v>642</v>
      </c>
    </row>
    <row r="140" spans="1:18" ht="45">
      <c r="A140" s="19">
        <v>140</v>
      </c>
      <c r="B140" s="19" t="s">
        <v>457</v>
      </c>
      <c r="C140" s="20" t="s">
        <v>20</v>
      </c>
      <c r="D140" s="20" t="s">
        <v>88</v>
      </c>
      <c r="E140" s="20" t="s">
        <v>458</v>
      </c>
      <c r="F140" s="19" t="s">
        <v>24</v>
      </c>
      <c r="G140" s="19" t="s">
        <v>25</v>
      </c>
      <c r="H140" s="19" t="s">
        <v>15</v>
      </c>
      <c r="I140" s="21">
        <f>'Feature Inventory'!J140/8</f>
        <v>3</v>
      </c>
      <c r="J140" s="21">
        <f>'Feature Inventory'!L140/8</f>
        <v>3</v>
      </c>
      <c r="K140" s="22" t="s">
        <v>644</v>
      </c>
      <c r="L140" s="22" t="s">
        <v>560</v>
      </c>
      <c r="M140" s="22">
        <v>4</v>
      </c>
      <c r="N140" s="22">
        <v>6</v>
      </c>
      <c r="O140" s="22">
        <v>8</v>
      </c>
      <c r="P140" s="22">
        <v>5</v>
      </c>
      <c r="Q140" s="20" t="s">
        <v>500</v>
      </c>
      <c r="R140" s="20" t="s">
        <v>642</v>
      </c>
    </row>
    <row r="141" spans="1:18" ht="45">
      <c r="A141" s="19">
        <v>141</v>
      </c>
      <c r="B141" s="19" t="s">
        <v>460</v>
      </c>
      <c r="C141" s="20" t="s">
        <v>20</v>
      </c>
      <c r="D141" s="20" t="s">
        <v>40</v>
      </c>
      <c r="E141" s="20" t="s">
        <v>461</v>
      </c>
      <c r="F141" s="19" t="s">
        <v>24</v>
      </c>
      <c r="G141" s="19" t="s">
        <v>46</v>
      </c>
      <c r="H141" s="19" t="s">
        <v>15</v>
      </c>
      <c r="I141" s="21">
        <f>'Feature Inventory'!J141/8</f>
        <v>4</v>
      </c>
      <c r="J141" s="21">
        <f>'Feature Inventory'!L141/8</f>
        <v>2</v>
      </c>
      <c r="K141" s="22" t="s">
        <v>641</v>
      </c>
      <c r="L141" s="22" t="s">
        <v>560</v>
      </c>
      <c r="M141" s="22">
        <v>5</v>
      </c>
      <c r="N141" s="22">
        <v>6</v>
      </c>
      <c r="O141" s="22">
        <v>8</v>
      </c>
      <c r="P141" s="22">
        <v>5</v>
      </c>
      <c r="Q141" s="20" t="s">
        <v>500</v>
      </c>
      <c r="R141" s="20" t="s">
        <v>642</v>
      </c>
    </row>
    <row r="142" spans="1:18" ht="45">
      <c r="A142" s="19">
        <v>142</v>
      </c>
      <c r="B142" s="19" t="s">
        <v>463</v>
      </c>
      <c r="C142" s="20" t="s">
        <v>154</v>
      </c>
      <c r="D142" s="20" t="s">
        <v>155</v>
      </c>
      <c r="E142" s="20" t="s">
        <v>464</v>
      </c>
      <c r="F142" s="19" t="s">
        <v>158</v>
      </c>
      <c r="G142" s="19" t="s">
        <v>25</v>
      </c>
      <c r="H142" s="19" t="s">
        <v>26</v>
      </c>
      <c r="I142" s="21">
        <f>'Feature Inventory'!J142/8</f>
        <v>7</v>
      </c>
      <c r="J142" s="21">
        <f>'Feature Inventory'!L142/8</f>
        <v>5</v>
      </c>
      <c r="K142" s="22" t="s">
        <v>648</v>
      </c>
      <c r="L142" s="22" t="s">
        <v>561</v>
      </c>
      <c r="M142" s="22">
        <v>7</v>
      </c>
      <c r="N142" s="22">
        <v>9</v>
      </c>
      <c r="O142" s="22">
        <v>11</v>
      </c>
      <c r="P142" s="22">
        <v>7</v>
      </c>
      <c r="Q142" s="20" t="s">
        <v>500</v>
      </c>
      <c r="R142" s="20" t="s">
        <v>640</v>
      </c>
    </row>
    <row r="143" spans="1:18" ht="45">
      <c r="A143" s="19">
        <v>143</v>
      </c>
      <c r="B143" s="19" t="s">
        <v>466</v>
      </c>
      <c r="C143" s="20" t="s">
        <v>154</v>
      </c>
      <c r="D143" s="20" t="s">
        <v>155</v>
      </c>
      <c r="E143" s="20" t="s">
        <v>467</v>
      </c>
      <c r="F143" s="19" t="s">
        <v>158</v>
      </c>
      <c r="G143" s="19" t="s">
        <v>25</v>
      </c>
      <c r="H143" s="19" t="s">
        <v>26</v>
      </c>
      <c r="I143" s="21">
        <f>'Feature Inventory'!J143/8</f>
        <v>6</v>
      </c>
      <c r="J143" s="21">
        <f>'Feature Inventory'!L143/8</f>
        <v>5</v>
      </c>
      <c r="K143" s="22" t="s">
        <v>648</v>
      </c>
      <c r="L143" s="22" t="s">
        <v>561</v>
      </c>
      <c r="M143" s="22">
        <v>6</v>
      </c>
      <c r="N143" s="22">
        <v>8</v>
      </c>
      <c r="O143" s="22">
        <v>10</v>
      </c>
      <c r="P143" s="22">
        <v>6</v>
      </c>
      <c r="Q143" s="20" t="s">
        <v>500</v>
      </c>
      <c r="R143" s="20" t="s">
        <v>640</v>
      </c>
    </row>
    <row r="144" spans="1:18" ht="45">
      <c r="A144" s="19">
        <v>144</v>
      </c>
      <c r="B144" s="19" t="s">
        <v>469</v>
      </c>
      <c r="C144" s="20" t="s">
        <v>278</v>
      </c>
      <c r="D144" s="20" t="s">
        <v>279</v>
      </c>
      <c r="E144" s="20" t="s">
        <v>470</v>
      </c>
      <c r="F144" s="19" t="s">
        <v>24</v>
      </c>
      <c r="G144" s="19" t="s">
        <v>25</v>
      </c>
      <c r="H144" s="19" t="s">
        <v>15</v>
      </c>
      <c r="I144" s="21">
        <f>'Feature Inventory'!J144/8</f>
        <v>4</v>
      </c>
      <c r="J144" s="21">
        <f>'Feature Inventory'!L144/8</f>
        <v>2</v>
      </c>
      <c r="K144" s="22" t="s">
        <v>648</v>
      </c>
      <c r="L144" s="22" t="s">
        <v>561</v>
      </c>
      <c r="M144" s="22">
        <v>4</v>
      </c>
      <c r="N144" s="22">
        <v>5</v>
      </c>
      <c r="O144" s="22">
        <v>6</v>
      </c>
      <c r="P144" s="22">
        <v>4</v>
      </c>
      <c r="Q144" s="20" t="s">
        <v>500</v>
      </c>
      <c r="R144" s="20" t="s">
        <v>640</v>
      </c>
    </row>
    <row r="145" spans="1:18" ht="45">
      <c r="A145" s="19">
        <v>145</v>
      </c>
      <c r="B145" s="19" t="s">
        <v>472</v>
      </c>
      <c r="C145" s="20" t="s">
        <v>278</v>
      </c>
      <c r="D145" s="20" t="s">
        <v>344</v>
      </c>
      <c r="E145" s="20" t="s">
        <v>473</v>
      </c>
      <c r="F145" s="19" t="s">
        <v>24</v>
      </c>
      <c r="G145" s="19" t="s">
        <v>25</v>
      </c>
      <c r="H145" s="19" t="s">
        <v>26</v>
      </c>
      <c r="I145" s="21">
        <f>'Feature Inventory'!J145/8</f>
        <v>6</v>
      </c>
      <c r="J145" s="21">
        <f>'Feature Inventory'!L145/8</f>
        <v>4</v>
      </c>
      <c r="K145" s="22" t="s">
        <v>649</v>
      </c>
      <c r="L145" s="22" t="s">
        <v>561</v>
      </c>
      <c r="M145" s="22">
        <v>5</v>
      </c>
      <c r="N145" s="22">
        <v>7</v>
      </c>
      <c r="O145" s="22">
        <v>10</v>
      </c>
      <c r="P145" s="22">
        <v>6</v>
      </c>
      <c r="Q145" s="20" t="s">
        <v>500</v>
      </c>
      <c r="R145" s="20" t="s">
        <v>640</v>
      </c>
    </row>
    <row r="146" spans="1:18" ht="45">
      <c r="A146" s="19">
        <v>146</v>
      </c>
      <c r="B146" s="19" t="s">
        <v>475</v>
      </c>
      <c r="C146" s="20" t="s">
        <v>417</v>
      </c>
      <c r="D146" s="20" t="s">
        <v>418</v>
      </c>
      <c r="E146" s="20" t="s">
        <v>476</v>
      </c>
      <c r="F146" s="19" t="s">
        <v>24</v>
      </c>
      <c r="G146" s="19" t="s">
        <v>25</v>
      </c>
      <c r="H146" s="19" t="s">
        <v>18</v>
      </c>
      <c r="I146" s="21">
        <f>'Feature Inventory'!J146/8</f>
        <v>20</v>
      </c>
      <c r="J146" s="21">
        <f>'Feature Inventory'!L146/8</f>
        <v>16</v>
      </c>
      <c r="K146" s="22" t="s">
        <v>651</v>
      </c>
      <c r="L146" s="22" t="s">
        <v>563</v>
      </c>
      <c r="M146" s="22">
        <v>26</v>
      </c>
      <c r="N146" s="22">
        <v>35</v>
      </c>
      <c r="O146" s="22">
        <v>50</v>
      </c>
      <c r="P146" s="22">
        <v>31</v>
      </c>
      <c r="Q146" s="20" t="s">
        <v>500</v>
      </c>
      <c r="R146" s="20" t="s">
        <v>654</v>
      </c>
    </row>
    <row r="147" spans="1:18" ht="45">
      <c r="A147" s="19">
        <v>147</v>
      </c>
      <c r="B147" s="19" t="s">
        <v>478</v>
      </c>
      <c r="C147" s="20" t="s">
        <v>417</v>
      </c>
      <c r="D147" s="20" t="s">
        <v>418</v>
      </c>
      <c r="E147" s="20" t="s">
        <v>479</v>
      </c>
      <c r="F147" s="19" t="s">
        <v>24</v>
      </c>
      <c r="G147" s="19" t="s">
        <v>25</v>
      </c>
      <c r="H147" s="19" t="s">
        <v>26</v>
      </c>
      <c r="I147" s="21">
        <f>'Feature Inventory'!J147/8</f>
        <v>8</v>
      </c>
      <c r="J147" s="21">
        <f>'Feature Inventory'!L147/8</f>
        <v>5</v>
      </c>
      <c r="K147" s="22" t="s">
        <v>650</v>
      </c>
      <c r="L147" s="22" t="s">
        <v>563</v>
      </c>
      <c r="M147" s="22">
        <v>12</v>
      </c>
      <c r="N147" s="22">
        <v>16</v>
      </c>
      <c r="O147" s="22">
        <v>24</v>
      </c>
      <c r="P147" s="22">
        <v>14</v>
      </c>
      <c r="Q147" s="20" t="s">
        <v>500</v>
      </c>
      <c r="R147" s="20" t="s">
        <v>654</v>
      </c>
    </row>
    <row r="148" spans="1:18" ht="45">
      <c r="A148" s="19">
        <v>148</v>
      </c>
      <c r="B148" s="19" t="s">
        <v>481</v>
      </c>
      <c r="C148" s="20" t="s">
        <v>417</v>
      </c>
      <c r="D148" s="20" t="s">
        <v>418</v>
      </c>
      <c r="E148" s="20" t="s">
        <v>482</v>
      </c>
      <c r="F148" s="19" t="s">
        <v>24</v>
      </c>
      <c r="G148" s="19" t="s">
        <v>25</v>
      </c>
      <c r="H148" s="19" t="s">
        <v>18</v>
      </c>
      <c r="I148" s="21">
        <f>'Feature Inventory'!J148/8</f>
        <v>20</v>
      </c>
      <c r="J148" s="21">
        <f>'Feature Inventory'!L148/8</f>
        <v>15</v>
      </c>
      <c r="K148" s="22" t="s">
        <v>653</v>
      </c>
      <c r="L148" s="22" t="s">
        <v>563</v>
      </c>
      <c r="M148" s="22">
        <v>22</v>
      </c>
      <c r="N148" s="22">
        <v>28</v>
      </c>
      <c r="O148" s="22">
        <v>40</v>
      </c>
      <c r="P148" s="22">
        <v>25</v>
      </c>
      <c r="Q148" s="20" t="s">
        <v>500</v>
      </c>
      <c r="R148" s="20" t="s">
        <v>654</v>
      </c>
    </row>
    <row r="149" spans="1:18" ht="45">
      <c r="A149" s="19">
        <v>149</v>
      </c>
      <c r="B149" s="19" t="s">
        <v>484</v>
      </c>
      <c r="C149" s="20" t="s">
        <v>417</v>
      </c>
      <c r="D149" s="20" t="s">
        <v>418</v>
      </c>
      <c r="E149" s="20" t="s">
        <v>485</v>
      </c>
      <c r="F149" s="19" t="s">
        <v>24</v>
      </c>
      <c r="G149" s="19" t="s">
        <v>25</v>
      </c>
      <c r="H149" s="19" t="s">
        <v>26</v>
      </c>
      <c r="I149" s="21">
        <f>'Feature Inventory'!J149/8</f>
        <v>6</v>
      </c>
      <c r="J149" s="21">
        <f>'Feature Inventory'!L149/8</f>
        <v>5</v>
      </c>
      <c r="K149" s="22" t="s">
        <v>644</v>
      </c>
      <c r="L149" s="22" t="s">
        <v>563</v>
      </c>
      <c r="M149" s="22">
        <v>10</v>
      </c>
      <c r="N149" s="22">
        <v>15</v>
      </c>
      <c r="O149" s="22">
        <v>22</v>
      </c>
      <c r="P149" s="22">
        <v>13</v>
      </c>
      <c r="Q149" s="20" t="s">
        <v>500</v>
      </c>
      <c r="R149" s="20" t="s">
        <v>654</v>
      </c>
    </row>
    <row r="150" spans="1:18" ht="45">
      <c r="A150" s="19">
        <v>150</v>
      </c>
      <c r="B150" s="19" t="s">
        <v>487</v>
      </c>
      <c r="C150" s="20" t="s">
        <v>417</v>
      </c>
      <c r="D150" s="20" t="s">
        <v>418</v>
      </c>
      <c r="E150" s="20" t="s">
        <v>488</v>
      </c>
      <c r="F150" s="19" t="s">
        <v>128</v>
      </c>
      <c r="G150" s="19" t="s">
        <v>132</v>
      </c>
      <c r="H150" s="19" t="s">
        <v>18</v>
      </c>
      <c r="I150" s="21">
        <f>'Feature Inventory'!J150/8</f>
        <v>15</v>
      </c>
      <c r="J150" s="21">
        <f>'Feature Inventory'!L150/8</f>
        <v>11</v>
      </c>
      <c r="K150" s="22" t="s">
        <v>651</v>
      </c>
      <c r="L150" s="22" t="s">
        <v>563</v>
      </c>
      <c r="M150" s="22">
        <v>25</v>
      </c>
      <c r="N150" s="22">
        <v>35</v>
      </c>
      <c r="O150" s="22">
        <v>50</v>
      </c>
      <c r="P150" s="22">
        <v>29</v>
      </c>
      <c r="Q150" s="20" t="s">
        <v>500</v>
      </c>
      <c r="R150" s="20" t="s">
        <v>654</v>
      </c>
    </row>
    <row r="151" spans="1:18" ht="45">
      <c r="A151" s="19">
        <v>151</v>
      </c>
      <c r="B151" s="19" t="s">
        <v>490</v>
      </c>
      <c r="C151" s="20" t="s">
        <v>417</v>
      </c>
      <c r="D151" s="20" t="s">
        <v>418</v>
      </c>
      <c r="E151" s="20" t="s">
        <v>491</v>
      </c>
      <c r="F151" s="19" t="s">
        <v>128</v>
      </c>
      <c r="G151" s="19" t="s">
        <v>25</v>
      </c>
      <c r="H151" s="19" t="s">
        <v>26</v>
      </c>
      <c r="I151" s="21">
        <f>'Feature Inventory'!J151/8</f>
        <v>5</v>
      </c>
      <c r="J151" s="21">
        <f>'Feature Inventory'!L151/8</f>
        <v>5</v>
      </c>
      <c r="K151" s="22" t="s">
        <v>651</v>
      </c>
      <c r="L151" s="22" t="s">
        <v>563</v>
      </c>
      <c r="M151" s="22">
        <v>8</v>
      </c>
      <c r="N151" s="22">
        <v>10</v>
      </c>
      <c r="O151" s="22">
        <v>15</v>
      </c>
      <c r="P151" s="22">
        <v>10</v>
      </c>
      <c r="Q151" s="20" t="s">
        <v>500</v>
      </c>
      <c r="R151" s="20" t="s">
        <v>654</v>
      </c>
    </row>
  </sheetData>
  <conditionalFormatting sqref="L2:L151">
    <cfRule type="expression" dxfId="8" priority="1">
      <formula>L2="Underestimated"</formula>
    </cfRule>
    <cfRule type="expression" dxfId="7" priority="2">
      <formula>L2="Broadly reasonable"</formula>
    </cfRule>
    <cfRule type="expression" dxfId="6" priority="3">
      <formula>L2="Scope confirmation required"</formula>
    </cfRule>
    <cfRule type="expression" dxfId="5" priority="4">
      <formula>L2="Shared-enabler boundary required"</formula>
    </cfRule>
    <cfRule type="expression" dxfId="4" priority="5">
      <formula>L2="Merge / remove from total"</formula>
    </cfRule>
    <cfRule type="expression" dxfId="3" priority="6">
      <formula>L2="Potential overlap / overestimate"</formula>
    </cfRule>
  </conditionalFormatting>
  <pageMargins left="0.7" right="0.7" top="0.75" bottom="0.75" header="0.3" footer="0.3"/>
  <tableParts count="1">
    <tablePart r:id="rId1"/>
  </tablePart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K64"/>
  <sheetViews>
    <sheetView topLeftCell="A45" workbookViewId="0">
      <selection activeCell="B1" sqref="B1"/>
    </sheetView>
  </sheetViews>
  <sheetFormatPr defaultRowHeight="15"/>
  <cols>
    <col min="1" max="1" width="9" customWidth="1"/>
    <col min="2" max="2" width="24" customWidth="1"/>
    <col min="3" max="3" width="48" customWidth="1"/>
    <col min="4" max="4" width="19" customWidth="1"/>
    <col min="5" max="5" width="32" customWidth="1"/>
    <col min="6" max="6" width="12" customWidth="1"/>
    <col min="7" max="7" width="15" customWidth="1"/>
    <col min="8" max="8" width="12" customWidth="1"/>
    <col min="9" max="9" width="15" customWidth="1"/>
    <col min="10" max="10" width="34" customWidth="1"/>
    <col min="11" max="11" width="42" customWidth="1"/>
  </cols>
  <sheetData>
    <row r="1" spans="1:11" ht="30.4" customHeight="1">
      <c r="A1" s="18" t="s">
        <v>655</v>
      </c>
      <c r="B1" s="18" t="s">
        <v>656</v>
      </c>
      <c r="C1" s="18" t="s">
        <v>657</v>
      </c>
      <c r="D1" s="18" t="s">
        <v>658</v>
      </c>
      <c r="E1" s="18" t="s">
        <v>659</v>
      </c>
      <c r="F1" s="18" t="s">
        <v>660</v>
      </c>
      <c r="G1" s="18" t="s">
        <v>661</v>
      </c>
      <c r="H1" s="18" t="s">
        <v>662</v>
      </c>
      <c r="I1" s="18" t="s">
        <v>663</v>
      </c>
      <c r="J1" s="18" t="s">
        <v>664</v>
      </c>
      <c r="K1" s="18" t="s">
        <v>665</v>
      </c>
    </row>
    <row r="2" spans="1:11" ht="30" hidden="1">
      <c r="A2" t="s">
        <v>666</v>
      </c>
      <c r="B2" s="23" t="s">
        <v>576</v>
      </c>
      <c r="C2" s="23" t="s">
        <v>667</v>
      </c>
      <c r="D2" s="23" t="s">
        <v>668</v>
      </c>
      <c r="E2" s="23" t="s">
        <v>669</v>
      </c>
      <c r="F2" s="24">
        <v>30</v>
      </c>
      <c r="G2" s="24">
        <v>40</v>
      </c>
      <c r="H2" s="24">
        <v>55</v>
      </c>
      <c r="I2" s="24">
        <v>32</v>
      </c>
      <c r="J2" s="23" t="s">
        <v>670</v>
      </c>
      <c r="K2" s="23" t="s">
        <v>671</v>
      </c>
    </row>
    <row r="3" spans="1:11" ht="30" hidden="1">
      <c r="A3" t="s">
        <v>672</v>
      </c>
      <c r="B3" s="23" t="s">
        <v>576</v>
      </c>
      <c r="C3" s="23" t="s">
        <v>673</v>
      </c>
      <c r="D3" s="23" t="s">
        <v>668</v>
      </c>
      <c r="E3" s="23" t="s">
        <v>674</v>
      </c>
      <c r="F3" s="24">
        <v>8</v>
      </c>
      <c r="G3" s="24">
        <v>10</v>
      </c>
      <c r="H3" s="24">
        <v>14</v>
      </c>
      <c r="I3" s="24">
        <v>7</v>
      </c>
      <c r="J3" s="23" t="s">
        <v>670</v>
      </c>
      <c r="K3" s="23" t="s">
        <v>671</v>
      </c>
    </row>
    <row r="4" spans="1:11" ht="30" hidden="1">
      <c r="A4" t="s">
        <v>675</v>
      </c>
      <c r="B4" s="23" t="s">
        <v>576</v>
      </c>
      <c r="C4" s="23" t="s">
        <v>676</v>
      </c>
      <c r="D4" s="23" t="s">
        <v>677</v>
      </c>
      <c r="E4" s="23" t="s">
        <v>678</v>
      </c>
      <c r="F4" s="24">
        <v>25</v>
      </c>
      <c r="G4" s="24">
        <v>35</v>
      </c>
      <c r="H4" s="24">
        <v>50</v>
      </c>
      <c r="I4" s="24">
        <v>25</v>
      </c>
      <c r="J4" s="23" t="s">
        <v>670</v>
      </c>
      <c r="K4" s="23" t="s">
        <v>671</v>
      </c>
    </row>
    <row r="5" spans="1:11" ht="30" hidden="1">
      <c r="A5" t="s">
        <v>679</v>
      </c>
      <c r="B5" s="23" t="s">
        <v>576</v>
      </c>
      <c r="C5" s="23" t="s">
        <v>680</v>
      </c>
      <c r="D5" s="23" t="s">
        <v>677</v>
      </c>
      <c r="E5" s="23" t="s">
        <v>681</v>
      </c>
      <c r="F5" s="24">
        <v>32</v>
      </c>
      <c r="G5" s="24">
        <v>45</v>
      </c>
      <c r="H5" s="24">
        <v>60</v>
      </c>
      <c r="I5" s="24">
        <v>32</v>
      </c>
      <c r="J5" s="23" t="s">
        <v>670</v>
      </c>
      <c r="K5" s="23" t="s">
        <v>671</v>
      </c>
    </row>
    <row r="6" spans="1:11" ht="30" hidden="1">
      <c r="A6" t="s">
        <v>682</v>
      </c>
      <c r="B6" s="23" t="s">
        <v>576</v>
      </c>
      <c r="C6" s="23" t="s">
        <v>683</v>
      </c>
      <c r="D6" s="23" t="s">
        <v>677</v>
      </c>
      <c r="E6" s="23" t="s">
        <v>684</v>
      </c>
      <c r="F6" s="24">
        <v>18</v>
      </c>
      <c r="G6" s="24">
        <v>25</v>
      </c>
      <c r="H6" s="24">
        <v>35</v>
      </c>
      <c r="I6" s="24">
        <v>20</v>
      </c>
      <c r="J6" s="23" t="s">
        <v>670</v>
      </c>
      <c r="K6" s="23" t="s">
        <v>671</v>
      </c>
    </row>
    <row r="7" spans="1:11" ht="30" hidden="1">
      <c r="A7" t="s">
        <v>685</v>
      </c>
      <c r="B7" s="23" t="s">
        <v>576</v>
      </c>
      <c r="C7" s="23" t="s">
        <v>686</v>
      </c>
      <c r="D7" s="23" t="s">
        <v>677</v>
      </c>
      <c r="E7" s="23" t="s">
        <v>687</v>
      </c>
      <c r="F7" s="24">
        <v>22</v>
      </c>
      <c r="G7" s="24">
        <v>30</v>
      </c>
      <c r="H7" s="24">
        <v>45</v>
      </c>
      <c r="I7" s="24">
        <v>24</v>
      </c>
      <c r="J7" s="23" t="s">
        <v>670</v>
      </c>
      <c r="K7" s="23" t="s">
        <v>671</v>
      </c>
    </row>
    <row r="8" spans="1:11" ht="30" hidden="1">
      <c r="A8" t="s">
        <v>688</v>
      </c>
      <c r="B8" s="23" t="s">
        <v>576</v>
      </c>
      <c r="C8" s="23" t="s">
        <v>689</v>
      </c>
      <c r="D8" s="23" t="s">
        <v>677</v>
      </c>
      <c r="E8" s="23" t="s">
        <v>690</v>
      </c>
      <c r="F8" s="24">
        <v>15</v>
      </c>
      <c r="G8" s="24">
        <v>20</v>
      </c>
      <c r="H8" s="24">
        <v>30</v>
      </c>
      <c r="I8" s="24">
        <v>16</v>
      </c>
      <c r="J8" s="23" t="s">
        <v>670</v>
      </c>
      <c r="K8" s="23" t="s">
        <v>671</v>
      </c>
    </row>
    <row r="9" spans="1:11" ht="30" hidden="1">
      <c r="A9" t="s">
        <v>691</v>
      </c>
      <c r="B9" s="23" t="s">
        <v>576</v>
      </c>
      <c r="C9" s="23" t="s">
        <v>692</v>
      </c>
      <c r="D9" s="23" t="s">
        <v>677</v>
      </c>
      <c r="E9" s="23" t="s">
        <v>693</v>
      </c>
      <c r="F9" s="24">
        <v>24</v>
      </c>
      <c r="G9" s="24">
        <v>30</v>
      </c>
      <c r="H9" s="24">
        <v>45</v>
      </c>
      <c r="I9" s="24">
        <v>27</v>
      </c>
      <c r="J9" s="23" t="s">
        <v>670</v>
      </c>
      <c r="K9" s="23" t="s">
        <v>671</v>
      </c>
    </row>
    <row r="10" spans="1:11" ht="30" hidden="1">
      <c r="A10" t="s">
        <v>694</v>
      </c>
      <c r="B10" s="23" t="s">
        <v>576</v>
      </c>
      <c r="C10" s="23" t="s">
        <v>695</v>
      </c>
      <c r="D10" s="23" t="s">
        <v>696</v>
      </c>
      <c r="E10" s="23" t="s">
        <v>697</v>
      </c>
      <c r="F10" s="24">
        <v>60</v>
      </c>
      <c r="G10" s="24">
        <v>80</v>
      </c>
      <c r="H10" s="24">
        <v>100</v>
      </c>
      <c r="I10" s="24">
        <v>70</v>
      </c>
      <c r="J10" s="23" t="s">
        <v>670</v>
      </c>
      <c r="K10" s="23" t="s">
        <v>671</v>
      </c>
    </row>
    <row r="11" spans="1:11" ht="30" hidden="1">
      <c r="A11" t="s">
        <v>698</v>
      </c>
      <c r="B11" s="23" t="s">
        <v>576</v>
      </c>
      <c r="C11" s="23" t="s">
        <v>699</v>
      </c>
      <c r="D11" s="23" t="s">
        <v>696</v>
      </c>
      <c r="E11" s="23" t="s">
        <v>700</v>
      </c>
      <c r="F11" s="24">
        <v>15</v>
      </c>
      <c r="G11" s="24">
        <v>20</v>
      </c>
      <c r="H11" s="24">
        <v>30</v>
      </c>
      <c r="I11" s="24">
        <v>18</v>
      </c>
      <c r="J11" s="23" t="s">
        <v>670</v>
      </c>
      <c r="K11" s="23" t="s">
        <v>671</v>
      </c>
    </row>
    <row r="12" spans="1:11" ht="45" hidden="1">
      <c r="A12" t="s">
        <v>701</v>
      </c>
      <c r="B12" s="23" t="s">
        <v>580</v>
      </c>
      <c r="C12" s="23" t="s">
        <v>702</v>
      </c>
      <c r="D12" s="23" t="s">
        <v>668</v>
      </c>
      <c r="E12" s="23" t="s">
        <v>703</v>
      </c>
      <c r="F12" s="24">
        <v>10</v>
      </c>
      <c r="G12" s="24">
        <v>15</v>
      </c>
      <c r="H12" s="24">
        <v>22</v>
      </c>
      <c r="I12" s="24">
        <v>12</v>
      </c>
      <c r="J12" s="23" t="s">
        <v>704</v>
      </c>
      <c r="K12" s="23" t="s">
        <v>705</v>
      </c>
    </row>
    <row r="13" spans="1:11" ht="45" hidden="1">
      <c r="A13" t="s">
        <v>706</v>
      </c>
      <c r="B13" s="23" t="s">
        <v>580</v>
      </c>
      <c r="C13" s="23" t="s">
        <v>707</v>
      </c>
      <c r="D13" s="23" t="s">
        <v>708</v>
      </c>
      <c r="E13" s="23" t="s">
        <v>709</v>
      </c>
      <c r="F13" s="24">
        <v>14</v>
      </c>
      <c r="G13" s="24">
        <v>20</v>
      </c>
      <c r="H13" s="24">
        <v>30</v>
      </c>
      <c r="I13" s="24">
        <v>16</v>
      </c>
      <c r="J13" s="23" t="s">
        <v>704</v>
      </c>
      <c r="K13" s="23" t="s">
        <v>705</v>
      </c>
    </row>
    <row r="14" spans="1:11" ht="45" hidden="1">
      <c r="A14" t="s">
        <v>710</v>
      </c>
      <c r="B14" s="23" t="s">
        <v>580</v>
      </c>
      <c r="C14" s="23" t="s">
        <v>711</v>
      </c>
      <c r="D14" s="23" t="s">
        <v>708</v>
      </c>
      <c r="E14" s="23" t="s">
        <v>712</v>
      </c>
      <c r="F14" s="24">
        <v>10</v>
      </c>
      <c r="G14" s="24">
        <v>15</v>
      </c>
      <c r="H14" s="24">
        <v>22</v>
      </c>
      <c r="I14" s="24">
        <v>12</v>
      </c>
      <c r="J14" s="23" t="s">
        <v>704</v>
      </c>
      <c r="K14" s="23" t="s">
        <v>705</v>
      </c>
    </row>
    <row r="15" spans="1:11" ht="30" hidden="1">
      <c r="A15" t="s">
        <v>713</v>
      </c>
      <c r="B15" s="23" t="s">
        <v>580</v>
      </c>
      <c r="C15" s="23" t="s">
        <v>714</v>
      </c>
      <c r="D15" s="23" t="s">
        <v>696</v>
      </c>
      <c r="E15" s="23" t="s">
        <v>715</v>
      </c>
      <c r="F15" s="24">
        <v>18</v>
      </c>
      <c r="G15" s="24">
        <v>25</v>
      </c>
      <c r="H15" s="24">
        <v>38</v>
      </c>
      <c r="I15" s="24">
        <v>20</v>
      </c>
      <c r="J15" s="23" t="s">
        <v>670</v>
      </c>
      <c r="K15" s="23" t="s">
        <v>671</v>
      </c>
    </row>
    <row r="16" spans="1:11" ht="30" hidden="1">
      <c r="A16" t="s">
        <v>716</v>
      </c>
      <c r="B16" s="23" t="s">
        <v>580</v>
      </c>
      <c r="C16" s="23" t="s">
        <v>717</v>
      </c>
      <c r="D16" s="23" t="s">
        <v>718</v>
      </c>
      <c r="E16" s="23" t="s">
        <v>719</v>
      </c>
      <c r="F16" s="24">
        <v>18</v>
      </c>
      <c r="G16" s="24">
        <v>25</v>
      </c>
      <c r="H16" s="24">
        <v>38</v>
      </c>
      <c r="I16" s="24">
        <v>20</v>
      </c>
      <c r="J16" s="23" t="s">
        <v>670</v>
      </c>
      <c r="K16" s="23" t="s">
        <v>671</v>
      </c>
    </row>
    <row r="17" spans="1:11" ht="45">
      <c r="A17" t="s">
        <v>720</v>
      </c>
      <c r="B17" s="23" t="s">
        <v>580</v>
      </c>
      <c r="C17" s="23" t="s">
        <v>721</v>
      </c>
      <c r="D17" s="23" t="s">
        <v>722</v>
      </c>
      <c r="E17" s="23" t="s">
        <v>723</v>
      </c>
      <c r="F17" s="24">
        <v>14</v>
      </c>
      <c r="G17" s="24">
        <v>20</v>
      </c>
      <c r="H17" s="24">
        <v>30</v>
      </c>
      <c r="I17" s="24">
        <v>15</v>
      </c>
      <c r="J17" s="23" t="s">
        <v>704</v>
      </c>
      <c r="K17" s="23" t="s">
        <v>705</v>
      </c>
    </row>
    <row r="18" spans="1:11" ht="45" hidden="1">
      <c r="A18" t="s">
        <v>724</v>
      </c>
      <c r="B18" s="23" t="s">
        <v>580</v>
      </c>
      <c r="C18" s="23" t="s">
        <v>725</v>
      </c>
      <c r="D18" s="23" t="s">
        <v>726</v>
      </c>
      <c r="E18" s="23" t="s">
        <v>727</v>
      </c>
      <c r="F18" s="24">
        <v>12</v>
      </c>
      <c r="G18" s="24">
        <v>18</v>
      </c>
      <c r="H18" s="24">
        <v>25</v>
      </c>
      <c r="I18" s="24">
        <v>15</v>
      </c>
      <c r="J18" s="23" t="s">
        <v>704</v>
      </c>
      <c r="K18" s="23" t="s">
        <v>705</v>
      </c>
    </row>
    <row r="19" spans="1:11" ht="30">
      <c r="A19" t="s">
        <v>728</v>
      </c>
      <c r="B19" s="23" t="s">
        <v>580</v>
      </c>
      <c r="C19" s="23" t="s">
        <v>729</v>
      </c>
      <c r="D19" s="23" t="s">
        <v>722</v>
      </c>
      <c r="E19" s="23" t="s">
        <v>730</v>
      </c>
      <c r="F19" s="24">
        <v>12</v>
      </c>
      <c r="G19" s="24">
        <v>18</v>
      </c>
      <c r="H19" s="24">
        <v>28</v>
      </c>
      <c r="I19" s="24">
        <v>14</v>
      </c>
      <c r="J19" s="23" t="s">
        <v>670</v>
      </c>
      <c r="K19" s="23" t="s">
        <v>671</v>
      </c>
    </row>
    <row r="20" spans="1:11" ht="30" hidden="1">
      <c r="A20" t="s">
        <v>731</v>
      </c>
      <c r="B20" s="23" t="s">
        <v>580</v>
      </c>
      <c r="C20" s="23" t="s">
        <v>732</v>
      </c>
      <c r="D20" s="23" t="s">
        <v>708</v>
      </c>
      <c r="E20" s="23" t="s">
        <v>733</v>
      </c>
      <c r="F20" s="24">
        <v>10</v>
      </c>
      <c r="G20" s="24">
        <v>15</v>
      </c>
      <c r="H20" s="24">
        <v>24</v>
      </c>
      <c r="I20" s="24">
        <v>13</v>
      </c>
      <c r="J20" s="23" t="s">
        <v>670</v>
      </c>
      <c r="K20" s="23" t="s">
        <v>671</v>
      </c>
    </row>
    <row r="21" spans="1:11" ht="30" hidden="1">
      <c r="A21" t="s">
        <v>734</v>
      </c>
      <c r="B21" s="23" t="s">
        <v>584</v>
      </c>
      <c r="C21" s="23" t="s">
        <v>735</v>
      </c>
      <c r="D21" s="23" t="s">
        <v>708</v>
      </c>
      <c r="E21" s="23" t="s">
        <v>736</v>
      </c>
      <c r="F21" s="24">
        <v>22</v>
      </c>
      <c r="G21" s="24">
        <v>30</v>
      </c>
      <c r="H21" s="24">
        <v>50</v>
      </c>
      <c r="I21" s="24">
        <v>26</v>
      </c>
      <c r="J21" s="23" t="s">
        <v>670</v>
      </c>
      <c r="K21" s="23" t="s">
        <v>671</v>
      </c>
    </row>
    <row r="22" spans="1:11" ht="30" hidden="1">
      <c r="A22" t="s">
        <v>737</v>
      </c>
      <c r="B22" s="23" t="s">
        <v>584</v>
      </c>
      <c r="C22" s="23" t="s">
        <v>738</v>
      </c>
      <c r="D22" s="23" t="s">
        <v>708</v>
      </c>
      <c r="E22" s="23" t="s">
        <v>739</v>
      </c>
      <c r="F22" s="24">
        <v>15</v>
      </c>
      <c r="G22" s="24">
        <v>20</v>
      </c>
      <c r="H22" s="24">
        <v>32</v>
      </c>
      <c r="I22" s="24">
        <v>18</v>
      </c>
      <c r="J22" s="23" t="s">
        <v>670</v>
      </c>
      <c r="K22" s="23" t="s">
        <v>671</v>
      </c>
    </row>
    <row r="23" spans="1:11" ht="30" hidden="1">
      <c r="A23" t="s">
        <v>740</v>
      </c>
      <c r="B23" s="23" t="s">
        <v>584</v>
      </c>
      <c r="C23" s="23" t="s">
        <v>741</v>
      </c>
      <c r="D23" s="23" t="s">
        <v>708</v>
      </c>
      <c r="E23" s="23" t="s">
        <v>742</v>
      </c>
      <c r="F23" s="24">
        <v>15</v>
      </c>
      <c r="G23" s="24">
        <v>20</v>
      </c>
      <c r="H23" s="24">
        <v>30</v>
      </c>
      <c r="I23" s="24">
        <v>18</v>
      </c>
      <c r="J23" s="23" t="s">
        <v>670</v>
      </c>
      <c r="K23" s="23" t="s">
        <v>671</v>
      </c>
    </row>
    <row r="24" spans="1:11" ht="45" hidden="1">
      <c r="A24" t="s">
        <v>743</v>
      </c>
      <c r="B24" s="23" t="s">
        <v>584</v>
      </c>
      <c r="C24" s="23" t="s">
        <v>744</v>
      </c>
      <c r="D24" s="23" t="s">
        <v>708</v>
      </c>
      <c r="E24" s="23" t="s">
        <v>745</v>
      </c>
      <c r="F24" s="24">
        <v>22</v>
      </c>
      <c r="G24" s="24">
        <v>30</v>
      </c>
      <c r="H24" s="24">
        <v>45</v>
      </c>
      <c r="I24" s="24">
        <v>26</v>
      </c>
      <c r="J24" s="23" t="s">
        <v>704</v>
      </c>
      <c r="K24" s="23" t="s">
        <v>705</v>
      </c>
    </row>
    <row r="25" spans="1:11" ht="45" hidden="1">
      <c r="A25" t="s">
        <v>746</v>
      </c>
      <c r="B25" s="23" t="s">
        <v>584</v>
      </c>
      <c r="C25" s="23" t="s">
        <v>747</v>
      </c>
      <c r="D25" s="23" t="s">
        <v>708</v>
      </c>
      <c r="E25" s="23" t="s">
        <v>236</v>
      </c>
      <c r="F25" s="24">
        <v>25</v>
      </c>
      <c r="G25" s="24">
        <v>35</v>
      </c>
      <c r="H25" s="24">
        <v>55</v>
      </c>
      <c r="I25" s="24">
        <v>30</v>
      </c>
      <c r="J25" s="23" t="s">
        <v>704</v>
      </c>
      <c r="K25" s="23" t="s">
        <v>705</v>
      </c>
    </row>
    <row r="26" spans="1:11" ht="45" hidden="1">
      <c r="A26" t="s">
        <v>748</v>
      </c>
      <c r="B26" s="23" t="s">
        <v>584</v>
      </c>
      <c r="C26" s="23" t="s">
        <v>749</v>
      </c>
      <c r="D26" s="23" t="s">
        <v>708</v>
      </c>
      <c r="E26" s="23" t="s">
        <v>484</v>
      </c>
      <c r="F26" s="24">
        <v>12</v>
      </c>
      <c r="G26" s="24">
        <v>18</v>
      </c>
      <c r="H26" s="24">
        <v>28</v>
      </c>
      <c r="I26" s="24">
        <v>15</v>
      </c>
      <c r="J26" s="23" t="s">
        <v>704</v>
      </c>
      <c r="K26" s="23" t="s">
        <v>705</v>
      </c>
    </row>
    <row r="27" spans="1:11" ht="30" hidden="1">
      <c r="A27" t="s">
        <v>750</v>
      </c>
      <c r="B27" s="23" t="s">
        <v>584</v>
      </c>
      <c r="C27" s="23" t="s">
        <v>751</v>
      </c>
      <c r="D27" s="23" t="s">
        <v>708</v>
      </c>
      <c r="E27" s="23" t="s">
        <v>752</v>
      </c>
      <c r="F27" s="24">
        <v>18</v>
      </c>
      <c r="G27" s="24">
        <v>25</v>
      </c>
      <c r="H27" s="24">
        <v>40</v>
      </c>
      <c r="I27" s="24">
        <v>22</v>
      </c>
      <c r="J27" s="23" t="s">
        <v>670</v>
      </c>
      <c r="K27" s="23" t="s">
        <v>671</v>
      </c>
    </row>
    <row r="28" spans="1:11" ht="45" hidden="1">
      <c r="A28" t="s">
        <v>753</v>
      </c>
      <c r="B28" s="23" t="s">
        <v>584</v>
      </c>
      <c r="C28" s="23" t="s">
        <v>754</v>
      </c>
      <c r="D28" s="23" t="s">
        <v>718</v>
      </c>
      <c r="E28" s="23" t="s">
        <v>433</v>
      </c>
      <c r="F28" s="24">
        <v>12</v>
      </c>
      <c r="G28" s="24">
        <v>18</v>
      </c>
      <c r="H28" s="24">
        <v>28</v>
      </c>
      <c r="I28" s="24">
        <v>16</v>
      </c>
      <c r="J28" s="23" t="s">
        <v>704</v>
      </c>
      <c r="K28" s="23" t="s">
        <v>705</v>
      </c>
    </row>
    <row r="29" spans="1:11" ht="30" hidden="1">
      <c r="A29" t="s">
        <v>755</v>
      </c>
      <c r="B29" s="23" t="s">
        <v>588</v>
      </c>
      <c r="C29" s="23" t="s">
        <v>756</v>
      </c>
      <c r="D29" s="23" t="s">
        <v>718</v>
      </c>
      <c r="E29" s="23" t="s">
        <v>757</v>
      </c>
      <c r="F29" s="24">
        <v>5</v>
      </c>
      <c r="G29" s="24">
        <v>8</v>
      </c>
      <c r="H29" s="24">
        <v>12</v>
      </c>
      <c r="I29" s="24">
        <v>6</v>
      </c>
      <c r="J29" s="23" t="s">
        <v>670</v>
      </c>
      <c r="K29" s="23" t="s">
        <v>671</v>
      </c>
    </row>
    <row r="30" spans="1:11" ht="45" hidden="1">
      <c r="A30" t="s">
        <v>758</v>
      </c>
      <c r="B30" s="23" t="s">
        <v>588</v>
      </c>
      <c r="C30" s="23" t="s">
        <v>759</v>
      </c>
      <c r="D30" s="23" t="s">
        <v>718</v>
      </c>
      <c r="E30" s="23" t="s">
        <v>760</v>
      </c>
      <c r="F30" s="24">
        <v>7</v>
      </c>
      <c r="G30" s="24">
        <v>10</v>
      </c>
      <c r="H30" s="24">
        <v>15</v>
      </c>
      <c r="I30" s="24">
        <v>7</v>
      </c>
      <c r="J30" s="23" t="s">
        <v>704</v>
      </c>
      <c r="K30" s="23" t="s">
        <v>705</v>
      </c>
    </row>
    <row r="31" spans="1:11" ht="30" hidden="1">
      <c r="A31" t="s">
        <v>761</v>
      </c>
      <c r="B31" s="23" t="s">
        <v>588</v>
      </c>
      <c r="C31" s="23" t="s">
        <v>762</v>
      </c>
      <c r="D31" s="23" t="s">
        <v>718</v>
      </c>
      <c r="E31" s="23" t="s">
        <v>763</v>
      </c>
      <c r="F31" s="24">
        <v>12</v>
      </c>
      <c r="G31" s="24">
        <v>18</v>
      </c>
      <c r="H31" s="24">
        <v>28</v>
      </c>
      <c r="I31" s="24">
        <v>13</v>
      </c>
      <c r="J31" s="23" t="s">
        <v>670</v>
      </c>
      <c r="K31" s="23" t="s">
        <v>671</v>
      </c>
    </row>
    <row r="32" spans="1:11" ht="45" hidden="1">
      <c r="A32" t="s">
        <v>764</v>
      </c>
      <c r="B32" s="23" t="s">
        <v>588</v>
      </c>
      <c r="C32" s="23" t="s">
        <v>765</v>
      </c>
      <c r="D32" s="23" t="s">
        <v>718</v>
      </c>
      <c r="E32" s="23" t="s">
        <v>766</v>
      </c>
      <c r="F32" s="24">
        <v>10</v>
      </c>
      <c r="G32" s="24">
        <v>15</v>
      </c>
      <c r="H32" s="24">
        <v>25</v>
      </c>
      <c r="I32" s="24">
        <v>12</v>
      </c>
      <c r="J32" s="23" t="s">
        <v>704</v>
      </c>
      <c r="K32" s="23" t="s">
        <v>705</v>
      </c>
    </row>
    <row r="33" spans="1:11" ht="30" hidden="1">
      <c r="A33" t="s">
        <v>767</v>
      </c>
      <c r="B33" s="23" t="s">
        <v>588</v>
      </c>
      <c r="C33" s="23" t="s">
        <v>768</v>
      </c>
      <c r="D33" s="23" t="s">
        <v>718</v>
      </c>
      <c r="E33" s="23" t="s">
        <v>769</v>
      </c>
      <c r="F33" s="24">
        <v>7</v>
      </c>
      <c r="G33" s="24">
        <v>10</v>
      </c>
      <c r="H33" s="24">
        <v>16</v>
      </c>
      <c r="I33" s="24">
        <v>7</v>
      </c>
      <c r="J33" s="23" t="s">
        <v>670</v>
      </c>
      <c r="K33" s="23" t="s">
        <v>671</v>
      </c>
    </row>
    <row r="34" spans="1:11" ht="30" hidden="1">
      <c r="A34" t="s">
        <v>770</v>
      </c>
      <c r="B34" s="23" t="s">
        <v>593</v>
      </c>
      <c r="C34" s="23" t="s">
        <v>771</v>
      </c>
      <c r="D34" s="23" t="s">
        <v>718</v>
      </c>
      <c r="E34" s="23" t="s">
        <v>772</v>
      </c>
      <c r="F34" s="24">
        <v>5</v>
      </c>
      <c r="G34" s="24">
        <v>8</v>
      </c>
      <c r="H34" s="24">
        <v>12</v>
      </c>
      <c r="I34" s="24">
        <v>6</v>
      </c>
      <c r="J34" s="23" t="s">
        <v>670</v>
      </c>
      <c r="K34" s="23" t="s">
        <v>671</v>
      </c>
    </row>
    <row r="35" spans="1:11" ht="30" hidden="1">
      <c r="A35" t="s">
        <v>773</v>
      </c>
      <c r="B35" s="23" t="s">
        <v>593</v>
      </c>
      <c r="C35" s="23" t="s">
        <v>774</v>
      </c>
      <c r="D35" s="23" t="s">
        <v>718</v>
      </c>
      <c r="E35" s="23" t="s">
        <v>775</v>
      </c>
      <c r="F35" s="24">
        <v>7</v>
      </c>
      <c r="G35" s="24">
        <v>10</v>
      </c>
      <c r="H35" s="24">
        <v>16</v>
      </c>
      <c r="I35" s="24">
        <v>8</v>
      </c>
      <c r="J35" s="23" t="s">
        <v>670</v>
      </c>
      <c r="K35" s="23" t="s">
        <v>671</v>
      </c>
    </row>
    <row r="36" spans="1:11" ht="30" hidden="1">
      <c r="A36" t="s">
        <v>776</v>
      </c>
      <c r="B36" s="23" t="s">
        <v>593</v>
      </c>
      <c r="C36" s="23" t="s">
        <v>777</v>
      </c>
      <c r="D36" s="23" t="s">
        <v>718</v>
      </c>
      <c r="E36" s="23" t="s">
        <v>778</v>
      </c>
      <c r="F36" s="24">
        <v>5</v>
      </c>
      <c r="G36" s="24">
        <v>8</v>
      </c>
      <c r="H36" s="24">
        <v>14</v>
      </c>
      <c r="I36" s="24">
        <v>6</v>
      </c>
      <c r="J36" s="23" t="s">
        <v>670</v>
      </c>
      <c r="K36" s="23" t="s">
        <v>671</v>
      </c>
    </row>
    <row r="37" spans="1:11" ht="30" hidden="1">
      <c r="A37" t="s">
        <v>779</v>
      </c>
      <c r="B37" s="23" t="s">
        <v>593</v>
      </c>
      <c r="C37" s="23" t="s">
        <v>780</v>
      </c>
      <c r="D37" s="23" t="s">
        <v>781</v>
      </c>
      <c r="E37" s="23" t="s">
        <v>782</v>
      </c>
      <c r="F37" s="24">
        <v>14</v>
      </c>
      <c r="G37" s="24">
        <v>20</v>
      </c>
      <c r="H37" s="24">
        <v>40</v>
      </c>
      <c r="I37" s="24">
        <v>17</v>
      </c>
      <c r="J37" s="23" t="s">
        <v>783</v>
      </c>
      <c r="K37" s="23" t="s">
        <v>784</v>
      </c>
    </row>
    <row r="38" spans="1:11" ht="30" hidden="1">
      <c r="A38" t="s">
        <v>785</v>
      </c>
      <c r="B38" s="23" t="s">
        <v>598</v>
      </c>
      <c r="C38" s="23" t="s">
        <v>786</v>
      </c>
      <c r="D38" s="23" t="s">
        <v>718</v>
      </c>
      <c r="E38" s="23" t="s">
        <v>787</v>
      </c>
      <c r="F38" s="24">
        <v>4</v>
      </c>
      <c r="G38" s="24">
        <v>6</v>
      </c>
      <c r="H38" s="24">
        <v>10</v>
      </c>
      <c r="I38" s="24">
        <v>5</v>
      </c>
      <c r="J38" s="23" t="s">
        <v>670</v>
      </c>
      <c r="K38" s="23" t="s">
        <v>671</v>
      </c>
    </row>
    <row r="39" spans="1:11" ht="30" hidden="1">
      <c r="A39" t="s">
        <v>788</v>
      </c>
      <c r="B39" s="23" t="s">
        <v>598</v>
      </c>
      <c r="C39" s="23" t="s">
        <v>789</v>
      </c>
      <c r="D39" s="23" t="s">
        <v>718</v>
      </c>
      <c r="E39" s="23" t="s">
        <v>790</v>
      </c>
      <c r="F39" s="24">
        <v>8</v>
      </c>
      <c r="G39" s="24">
        <v>12</v>
      </c>
      <c r="H39" s="24">
        <v>18</v>
      </c>
      <c r="I39" s="24">
        <v>9</v>
      </c>
      <c r="J39" s="23" t="s">
        <v>670</v>
      </c>
      <c r="K39" s="23" t="s">
        <v>671</v>
      </c>
    </row>
    <row r="40" spans="1:11" ht="45" hidden="1">
      <c r="A40" t="s">
        <v>791</v>
      </c>
      <c r="B40" s="23" t="s">
        <v>598</v>
      </c>
      <c r="C40" s="23" t="s">
        <v>792</v>
      </c>
      <c r="D40" s="23" t="s">
        <v>718</v>
      </c>
      <c r="E40" s="23" t="s">
        <v>793</v>
      </c>
      <c r="F40" s="24">
        <v>14</v>
      </c>
      <c r="G40" s="24">
        <v>20</v>
      </c>
      <c r="H40" s="24">
        <v>30</v>
      </c>
      <c r="I40" s="24">
        <v>15</v>
      </c>
      <c r="J40" s="23" t="s">
        <v>704</v>
      </c>
      <c r="K40" s="23" t="s">
        <v>705</v>
      </c>
    </row>
    <row r="41" spans="1:11" ht="45" hidden="1">
      <c r="A41" t="s">
        <v>794</v>
      </c>
      <c r="B41" s="23" t="s">
        <v>598</v>
      </c>
      <c r="C41" s="23" t="s">
        <v>795</v>
      </c>
      <c r="D41" s="23" t="s">
        <v>718</v>
      </c>
      <c r="E41" s="23" t="s">
        <v>796</v>
      </c>
      <c r="F41" s="24">
        <v>5</v>
      </c>
      <c r="G41" s="24">
        <v>8</v>
      </c>
      <c r="H41" s="24">
        <v>14</v>
      </c>
      <c r="I41" s="24">
        <v>6</v>
      </c>
      <c r="J41" s="23" t="s">
        <v>704</v>
      </c>
      <c r="K41" s="23" t="s">
        <v>705</v>
      </c>
    </row>
    <row r="42" spans="1:11" ht="30">
      <c r="A42" t="s">
        <v>797</v>
      </c>
      <c r="B42" s="23" t="s">
        <v>603</v>
      </c>
      <c r="C42" s="23" t="s">
        <v>798</v>
      </c>
      <c r="D42" s="23" t="s">
        <v>722</v>
      </c>
      <c r="E42" s="23" t="s">
        <v>799</v>
      </c>
      <c r="F42" s="24">
        <v>25</v>
      </c>
      <c r="G42" s="24">
        <v>35</v>
      </c>
      <c r="H42" s="24">
        <v>50</v>
      </c>
      <c r="I42" s="24">
        <v>29</v>
      </c>
      <c r="J42" s="23" t="s">
        <v>670</v>
      </c>
      <c r="K42" s="23" t="s">
        <v>671</v>
      </c>
    </row>
    <row r="43" spans="1:11" ht="45">
      <c r="A43" t="s">
        <v>800</v>
      </c>
      <c r="B43" s="23" t="s">
        <v>603</v>
      </c>
      <c r="C43" s="23" t="s">
        <v>801</v>
      </c>
      <c r="D43" s="23" t="s">
        <v>722</v>
      </c>
      <c r="E43" s="23" t="s">
        <v>802</v>
      </c>
      <c r="F43" s="24">
        <v>18</v>
      </c>
      <c r="G43" s="24">
        <v>25</v>
      </c>
      <c r="H43" s="24">
        <v>38</v>
      </c>
      <c r="I43" s="24">
        <v>22</v>
      </c>
      <c r="J43" s="23" t="s">
        <v>670</v>
      </c>
      <c r="K43" s="23" t="s">
        <v>671</v>
      </c>
    </row>
    <row r="44" spans="1:11" ht="30">
      <c r="A44" t="s">
        <v>803</v>
      </c>
      <c r="B44" s="23" t="s">
        <v>603</v>
      </c>
      <c r="C44" s="23" t="s">
        <v>804</v>
      </c>
      <c r="D44" s="23" t="s">
        <v>722</v>
      </c>
      <c r="E44" s="23" t="s">
        <v>805</v>
      </c>
      <c r="F44" s="24">
        <v>22</v>
      </c>
      <c r="G44" s="24">
        <v>30</v>
      </c>
      <c r="H44" s="24">
        <v>45</v>
      </c>
      <c r="I44" s="24">
        <v>25</v>
      </c>
      <c r="J44" s="23" t="s">
        <v>670</v>
      </c>
      <c r="K44" s="23" t="s">
        <v>671</v>
      </c>
    </row>
    <row r="45" spans="1:11" ht="30">
      <c r="A45" t="s">
        <v>806</v>
      </c>
      <c r="B45" s="23" t="s">
        <v>603</v>
      </c>
      <c r="C45" s="23" t="s">
        <v>807</v>
      </c>
      <c r="D45" s="23" t="s">
        <v>722</v>
      </c>
      <c r="E45" s="23" t="s">
        <v>808</v>
      </c>
      <c r="F45" s="24">
        <v>18</v>
      </c>
      <c r="G45" s="24">
        <v>25</v>
      </c>
      <c r="H45" s="24">
        <v>38</v>
      </c>
      <c r="I45" s="24">
        <v>22</v>
      </c>
      <c r="J45" s="23" t="s">
        <v>670</v>
      </c>
      <c r="K45" s="23" t="s">
        <v>671</v>
      </c>
    </row>
    <row r="46" spans="1:11" ht="30">
      <c r="A46" t="s">
        <v>809</v>
      </c>
      <c r="B46" s="23" t="s">
        <v>603</v>
      </c>
      <c r="C46" s="23" t="s">
        <v>810</v>
      </c>
      <c r="D46" s="23" t="s">
        <v>722</v>
      </c>
      <c r="E46" s="23" t="s">
        <v>811</v>
      </c>
      <c r="F46" s="24">
        <v>14</v>
      </c>
      <c r="G46" s="24">
        <v>20</v>
      </c>
      <c r="H46" s="24">
        <v>30</v>
      </c>
      <c r="I46" s="24">
        <v>18</v>
      </c>
      <c r="J46" s="23" t="s">
        <v>670</v>
      </c>
      <c r="K46" s="23" t="s">
        <v>671</v>
      </c>
    </row>
    <row r="47" spans="1:11" ht="30">
      <c r="A47" t="s">
        <v>812</v>
      </c>
      <c r="B47" s="23" t="s">
        <v>603</v>
      </c>
      <c r="C47" s="23" t="s">
        <v>813</v>
      </c>
      <c r="D47" s="23" t="s">
        <v>722</v>
      </c>
      <c r="E47" s="23" t="s">
        <v>814</v>
      </c>
      <c r="F47" s="24">
        <v>30</v>
      </c>
      <c r="G47" s="24">
        <v>40</v>
      </c>
      <c r="H47" s="24">
        <v>60</v>
      </c>
      <c r="I47" s="24">
        <v>34</v>
      </c>
      <c r="J47" s="23" t="s">
        <v>670</v>
      </c>
      <c r="K47" s="23" t="s">
        <v>671</v>
      </c>
    </row>
    <row r="48" spans="1:11" ht="30">
      <c r="A48" t="s">
        <v>815</v>
      </c>
      <c r="B48" s="23" t="s">
        <v>603</v>
      </c>
      <c r="C48" s="23" t="s">
        <v>816</v>
      </c>
      <c r="D48" s="23" t="s">
        <v>722</v>
      </c>
      <c r="E48" s="23" t="s">
        <v>817</v>
      </c>
      <c r="F48" s="24">
        <v>12</v>
      </c>
      <c r="G48" s="24">
        <v>18</v>
      </c>
      <c r="H48" s="24">
        <v>28</v>
      </c>
      <c r="I48" s="24">
        <v>16</v>
      </c>
      <c r="J48" s="23" t="s">
        <v>670</v>
      </c>
      <c r="K48" s="23" t="s">
        <v>671</v>
      </c>
    </row>
    <row r="49" spans="1:11" ht="30" hidden="1">
      <c r="A49" t="s">
        <v>818</v>
      </c>
      <c r="B49" s="23" t="s">
        <v>608</v>
      </c>
      <c r="C49" s="23" t="s">
        <v>819</v>
      </c>
      <c r="D49" s="23" t="s">
        <v>820</v>
      </c>
      <c r="E49" s="23" t="s">
        <v>821</v>
      </c>
      <c r="F49" s="24">
        <v>18</v>
      </c>
      <c r="G49" s="24">
        <v>25</v>
      </c>
      <c r="H49" s="24">
        <v>38</v>
      </c>
      <c r="I49" s="24">
        <v>20</v>
      </c>
      <c r="J49" s="23" t="s">
        <v>670</v>
      </c>
      <c r="K49" s="23" t="s">
        <v>671</v>
      </c>
    </row>
    <row r="50" spans="1:11" ht="30" hidden="1">
      <c r="A50" t="s">
        <v>822</v>
      </c>
      <c r="B50" s="23" t="s">
        <v>608</v>
      </c>
      <c r="C50" s="23" t="s">
        <v>823</v>
      </c>
      <c r="D50" s="23" t="s">
        <v>820</v>
      </c>
      <c r="E50" s="23" t="s">
        <v>824</v>
      </c>
      <c r="F50" s="24">
        <v>70</v>
      </c>
      <c r="G50" s="24">
        <v>90</v>
      </c>
      <c r="H50" s="24">
        <v>120</v>
      </c>
      <c r="I50" s="24">
        <v>75</v>
      </c>
      <c r="J50" s="23" t="s">
        <v>670</v>
      </c>
      <c r="K50" s="23" t="s">
        <v>671</v>
      </c>
    </row>
    <row r="51" spans="1:11" ht="30" hidden="1">
      <c r="A51" t="s">
        <v>825</v>
      </c>
      <c r="B51" s="23" t="s">
        <v>608</v>
      </c>
      <c r="C51" s="23" t="s">
        <v>826</v>
      </c>
      <c r="D51" s="23" t="s">
        <v>820</v>
      </c>
      <c r="E51" s="23" t="s">
        <v>827</v>
      </c>
      <c r="F51" s="24">
        <v>18</v>
      </c>
      <c r="G51" s="24">
        <v>25</v>
      </c>
      <c r="H51" s="24">
        <v>40</v>
      </c>
      <c r="I51" s="24">
        <v>22</v>
      </c>
      <c r="J51" s="23" t="s">
        <v>670</v>
      </c>
      <c r="K51" s="23" t="s">
        <v>671</v>
      </c>
    </row>
    <row r="52" spans="1:11" ht="30" hidden="1">
      <c r="A52" t="s">
        <v>828</v>
      </c>
      <c r="B52" s="23" t="s">
        <v>608</v>
      </c>
      <c r="C52" s="23" t="s">
        <v>829</v>
      </c>
      <c r="D52" s="23" t="s">
        <v>708</v>
      </c>
      <c r="E52" s="23" t="s">
        <v>830</v>
      </c>
      <c r="F52" s="24">
        <v>22</v>
      </c>
      <c r="G52" s="24">
        <v>30</v>
      </c>
      <c r="H52" s="24">
        <v>45</v>
      </c>
      <c r="I52" s="24">
        <v>27</v>
      </c>
      <c r="J52" s="23" t="s">
        <v>670</v>
      </c>
      <c r="K52" s="23" t="s">
        <v>671</v>
      </c>
    </row>
    <row r="53" spans="1:11" ht="30" hidden="1">
      <c r="A53" t="s">
        <v>831</v>
      </c>
      <c r="B53" s="23" t="s">
        <v>608</v>
      </c>
      <c r="C53" s="23" t="s">
        <v>832</v>
      </c>
      <c r="D53" s="23" t="s">
        <v>708</v>
      </c>
      <c r="E53" s="23" t="s">
        <v>833</v>
      </c>
      <c r="F53" s="24">
        <v>18</v>
      </c>
      <c r="G53" s="24">
        <v>25</v>
      </c>
      <c r="H53" s="24">
        <v>40</v>
      </c>
      <c r="I53" s="24">
        <v>23</v>
      </c>
      <c r="J53" s="23" t="s">
        <v>670</v>
      </c>
      <c r="K53" s="23" t="s">
        <v>671</v>
      </c>
    </row>
    <row r="54" spans="1:11" ht="30" hidden="1">
      <c r="A54" t="s">
        <v>834</v>
      </c>
      <c r="B54" s="23" t="s">
        <v>608</v>
      </c>
      <c r="C54" s="23" t="s">
        <v>835</v>
      </c>
      <c r="D54" s="23" t="s">
        <v>718</v>
      </c>
      <c r="E54" s="23" t="s">
        <v>836</v>
      </c>
      <c r="F54" s="24">
        <v>14</v>
      </c>
      <c r="G54" s="24">
        <v>20</v>
      </c>
      <c r="H54" s="24">
        <v>30</v>
      </c>
      <c r="I54" s="24">
        <v>17</v>
      </c>
      <c r="J54" s="23" t="s">
        <v>670</v>
      </c>
      <c r="K54" s="23" t="s">
        <v>671</v>
      </c>
    </row>
    <row r="55" spans="1:11" ht="30">
      <c r="A55" t="s">
        <v>837</v>
      </c>
      <c r="B55" s="23" t="s">
        <v>608</v>
      </c>
      <c r="C55" s="23" t="s">
        <v>838</v>
      </c>
      <c r="D55" s="23" t="s">
        <v>722</v>
      </c>
      <c r="E55" s="23" t="s">
        <v>839</v>
      </c>
      <c r="F55" s="24">
        <v>22</v>
      </c>
      <c r="G55" s="24">
        <v>30</v>
      </c>
      <c r="H55" s="24">
        <v>45</v>
      </c>
      <c r="I55" s="24">
        <v>27</v>
      </c>
      <c r="J55" s="23" t="s">
        <v>670</v>
      </c>
      <c r="K55" s="23" t="s">
        <v>671</v>
      </c>
    </row>
    <row r="56" spans="1:11" ht="30">
      <c r="A56" t="s">
        <v>840</v>
      </c>
      <c r="B56" s="23" t="s">
        <v>613</v>
      </c>
      <c r="C56" s="23" t="s">
        <v>841</v>
      </c>
      <c r="D56" s="23" t="s">
        <v>722</v>
      </c>
      <c r="E56" s="23" t="s">
        <v>842</v>
      </c>
      <c r="F56" s="24">
        <v>25</v>
      </c>
      <c r="G56" s="24">
        <v>35</v>
      </c>
      <c r="H56" s="24">
        <v>55</v>
      </c>
      <c r="I56" s="24">
        <v>32</v>
      </c>
      <c r="J56" s="23" t="s">
        <v>670</v>
      </c>
      <c r="K56" s="23" t="s">
        <v>671</v>
      </c>
    </row>
    <row r="57" spans="1:11" ht="45" hidden="1">
      <c r="A57" t="s">
        <v>843</v>
      </c>
      <c r="B57" s="23" t="s">
        <v>613</v>
      </c>
      <c r="C57" s="23" t="s">
        <v>844</v>
      </c>
      <c r="D57" s="23" t="s">
        <v>718</v>
      </c>
      <c r="E57" s="23" t="s">
        <v>845</v>
      </c>
      <c r="F57" s="24">
        <v>18</v>
      </c>
      <c r="G57" s="24">
        <v>25</v>
      </c>
      <c r="H57" s="24">
        <v>38</v>
      </c>
      <c r="I57" s="24">
        <v>21</v>
      </c>
      <c r="J57" s="23" t="s">
        <v>704</v>
      </c>
      <c r="K57" s="23" t="s">
        <v>705</v>
      </c>
    </row>
    <row r="58" spans="1:11" ht="30" hidden="1">
      <c r="A58" t="s">
        <v>846</v>
      </c>
      <c r="B58" s="23" t="s">
        <v>613</v>
      </c>
      <c r="C58" s="23" t="s">
        <v>847</v>
      </c>
      <c r="D58" s="23" t="s">
        <v>718</v>
      </c>
      <c r="E58" s="23" t="s">
        <v>848</v>
      </c>
      <c r="F58" s="24">
        <v>18</v>
      </c>
      <c r="G58" s="24">
        <v>25</v>
      </c>
      <c r="H58" s="24">
        <v>40</v>
      </c>
      <c r="I58" s="24">
        <v>22</v>
      </c>
      <c r="J58" s="23" t="s">
        <v>670</v>
      </c>
      <c r="K58" s="23" t="s">
        <v>671</v>
      </c>
    </row>
    <row r="59" spans="1:11" ht="30" hidden="1">
      <c r="A59" t="s">
        <v>849</v>
      </c>
      <c r="B59" s="23" t="s">
        <v>613</v>
      </c>
      <c r="C59" s="23" t="s">
        <v>850</v>
      </c>
      <c r="D59" s="23" t="s">
        <v>708</v>
      </c>
      <c r="E59" s="23" t="s">
        <v>851</v>
      </c>
      <c r="F59" s="24">
        <v>10</v>
      </c>
      <c r="G59" s="24">
        <v>15</v>
      </c>
      <c r="H59" s="24">
        <v>24</v>
      </c>
      <c r="I59" s="24">
        <v>13</v>
      </c>
      <c r="J59" s="23" t="s">
        <v>670</v>
      </c>
      <c r="K59" s="23" t="s">
        <v>671</v>
      </c>
    </row>
    <row r="60" spans="1:11" ht="30" hidden="1">
      <c r="A60" t="s">
        <v>852</v>
      </c>
      <c r="B60" s="23" t="s">
        <v>618</v>
      </c>
      <c r="C60" s="23" t="s">
        <v>853</v>
      </c>
      <c r="D60" s="23" t="s">
        <v>718</v>
      </c>
      <c r="E60" s="23" t="s">
        <v>854</v>
      </c>
      <c r="F60" s="24">
        <v>18</v>
      </c>
      <c r="G60" s="24">
        <v>25</v>
      </c>
      <c r="H60" s="24">
        <v>40</v>
      </c>
      <c r="I60" s="24">
        <v>23</v>
      </c>
      <c r="J60" s="23" t="s">
        <v>670</v>
      </c>
      <c r="K60" s="23" t="s">
        <v>671</v>
      </c>
    </row>
    <row r="61" spans="1:11" ht="30" hidden="1">
      <c r="A61" t="s">
        <v>855</v>
      </c>
      <c r="B61" s="23" t="s">
        <v>618</v>
      </c>
      <c r="C61" s="23" t="s">
        <v>856</v>
      </c>
      <c r="D61" s="23" t="s">
        <v>718</v>
      </c>
      <c r="E61" s="23" t="s">
        <v>857</v>
      </c>
      <c r="F61" s="24">
        <v>10</v>
      </c>
      <c r="G61" s="24">
        <v>15</v>
      </c>
      <c r="H61" s="24">
        <v>24</v>
      </c>
      <c r="I61" s="24">
        <v>14</v>
      </c>
      <c r="J61" s="23" t="s">
        <v>670</v>
      </c>
      <c r="K61" s="23" t="s">
        <v>671</v>
      </c>
    </row>
    <row r="62" spans="1:11" ht="30" hidden="1">
      <c r="A62" t="s">
        <v>858</v>
      </c>
      <c r="B62" s="23" t="s">
        <v>618</v>
      </c>
      <c r="C62" s="23" t="s">
        <v>859</v>
      </c>
      <c r="D62" s="23" t="s">
        <v>708</v>
      </c>
      <c r="E62" s="23" t="s">
        <v>860</v>
      </c>
      <c r="F62" s="24">
        <v>14</v>
      </c>
      <c r="G62" s="24">
        <v>20</v>
      </c>
      <c r="H62" s="24">
        <v>30</v>
      </c>
      <c r="I62" s="24">
        <v>17</v>
      </c>
      <c r="J62" s="23" t="s">
        <v>670</v>
      </c>
      <c r="K62" s="23" t="s">
        <v>671</v>
      </c>
    </row>
    <row r="63" spans="1:11" ht="30" hidden="1">
      <c r="A63" t="s">
        <v>861</v>
      </c>
      <c r="B63" s="23" t="s">
        <v>618</v>
      </c>
      <c r="C63" s="23" t="s">
        <v>862</v>
      </c>
      <c r="D63" s="23" t="s">
        <v>863</v>
      </c>
      <c r="E63" s="23" t="s">
        <v>864</v>
      </c>
      <c r="F63" s="24">
        <v>22</v>
      </c>
      <c r="G63" s="24">
        <v>30</v>
      </c>
      <c r="H63" s="24">
        <v>45</v>
      </c>
      <c r="I63" s="24">
        <v>28</v>
      </c>
      <c r="J63" s="23" t="s">
        <v>670</v>
      </c>
      <c r="K63" s="23" t="s">
        <v>671</v>
      </c>
    </row>
    <row r="64" spans="1:11" ht="30" hidden="1">
      <c r="A64" t="s">
        <v>865</v>
      </c>
      <c r="B64" s="23" t="s">
        <v>618</v>
      </c>
      <c r="C64" s="23" t="s">
        <v>866</v>
      </c>
      <c r="D64" s="23" t="s">
        <v>863</v>
      </c>
      <c r="E64" s="23" t="s">
        <v>867</v>
      </c>
      <c r="F64" s="24">
        <v>14</v>
      </c>
      <c r="G64" s="24">
        <v>20</v>
      </c>
      <c r="H64" s="24">
        <v>30</v>
      </c>
      <c r="I64" s="24">
        <v>19</v>
      </c>
      <c r="J64" s="23" t="s">
        <v>670</v>
      </c>
      <c r="K64" s="23" t="s">
        <v>671</v>
      </c>
    </row>
  </sheetData>
  <conditionalFormatting sqref="D2:D64">
    <cfRule type="expression" dxfId="2" priority="1">
      <formula>D2="Missing"</formula>
    </cfRule>
    <cfRule type="expression" dxfId="1" priority="2">
      <formula>D2="Partially covered"</formula>
    </cfRule>
    <cfRule type="expression" dxfId="0" priority="3">
      <formula>D2="Clarification required"</formula>
    </cfRule>
  </conditionalFormatting>
  <pageMargins left="0.7" right="0.7" top="0.75" bottom="0.75" header="0.3" footer="0.3"/>
  <tableParts count="1">
    <tablePart r:id="rId1"/>
  </tablePart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H14"/>
  <sheetViews>
    <sheetView workbookViewId="0">
      <selection activeCell="A16" sqref="A16"/>
    </sheetView>
  </sheetViews>
  <sheetFormatPr defaultRowHeight="15"/>
  <cols>
    <col min="1" max="1" width="25" customWidth="1"/>
    <col min="2" max="2" width="95" customWidth="1"/>
  </cols>
  <sheetData>
    <row r="1" spans="1:8" ht="24" customHeight="1">
      <c r="A1" s="46" t="s">
        <v>868</v>
      </c>
      <c r="B1" s="46"/>
      <c r="C1" s="46"/>
      <c r="D1" s="46"/>
      <c r="E1" s="46"/>
      <c r="F1" s="46"/>
      <c r="G1" s="46"/>
      <c r="H1" s="46"/>
    </row>
    <row r="3" spans="1:8">
      <c r="A3" s="18" t="s">
        <v>869</v>
      </c>
      <c r="B3" s="18" t="s">
        <v>870</v>
      </c>
    </row>
    <row r="4" spans="1:8" ht="30">
      <c r="A4" s="23" t="s">
        <v>871</v>
      </c>
      <c r="B4" s="23" t="s">
        <v>872</v>
      </c>
    </row>
    <row r="5" spans="1:8" ht="45">
      <c r="A5" s="23" t="s">
        <v>873</v>
      </c>
      <c r="B5" s="23" t="s">
        <v>874</v>
      </c>
    </row>
    <row r="6" spans="1:8" ht="45">
      <c r="A6" s="23" t="s">
        <v>875</v>
      </c>
      <c r="B6" s="23" t="s">
        <v>876</v>
      </c>
    </row>
    <row r="7" spans="1:8" ht="30">
      <c r="A7" s="23" t="s">
        <v>877</v>
      </c>
      <c r="B7" s="23" t="s">
        <v>878</v>
      </c>
    </row>
    <row r="8" spans="1:8" ht="45">
      <c r="A8" s="23" t="s">
        <v>879</v>
      </c>
      <c r="B8" s="23" t="s">
        <v>880</v>
      </c>
    </row>
    <row r="9" spans="1:8" ht="45">
      <c r="A9" s="23" t="s">
        <v>881</v>
      </c>
      <c r="B9" s="23" t="s">
        <v>882</v>
      </c>
    </row>
    <row r="10" spans="1:8" ht="45">
      <c r="A10" s="23" t="s">
        <v>883</v>
      </c>
      <c r="B10" s="23" t="s">
        <v>884</v>
      </c>
    </row>
    <row r="11" spans="1:8" ht="45">
      <c r="A11" s="23" t="s">
        <v>885</v>
      </c>
      <c r="B11" s="23" t="s">
        <v>886</v>
      </c>
    </row>
    <row r="12" spans="1:8" ht="30">
      <c r="A12" s="23" t="s">
        <v>887</v>
      </c>
      <c r="B12" s="23" t="s">
        <v>888</v>
      </c>
    </row>
    <row r="13" spans="1:8" ht="30">
      <c r="A13" s="23" t="s">
        <v>889</v>
      </c>
      <c r="B13" s="23" t="s">
        <v>890</v>
      </c>
    </row>
    <row r="14" spans="1:8" ht="45">
      <c r="A14" s="23" t="s">
        <v>891</v>
      </c>
      <c r="B14" s="23" t="s">
        <v>892</v>
      </c>
    </row>
  </sheetData>
  <mergeCells count="1">
    <mergeCell ref="A1:H1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Abdullah Parkar</dc:creator>
  <cp:keywords/>
  <dc:description/>
  <cp:lastModifiedBy>Eesha Patwardhan</cp:lastModifiedBy>
  <cp:revision/>
  <dcterms:created xsi:type="dcterms:W3CDTF">2026-07-15T08:19:23Z</dcterms:created>
  <dcterms:modified xsi:type="dcterms:W3CDTF">2026-09-21T06:56:12Z</dcterms:modified>
  <cp:category/>
  <cp:contentStatus/>
</cp:coreProperties>
</file>