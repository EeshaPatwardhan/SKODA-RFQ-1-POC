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49774EAB-BFFF-4F5C-A447-070DE10D9C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vised 40 Min Plan" sheetId="1" r:id="rId1"/>
    <sheet name="Dashboard Storyboard" sheetId="2" r:id="rId2"/>
    <sheet name="Demo Hierarchy &amp; Data" sheetId="3" r:id="rId3"/>
    <sheet name="Board Demo Script" sheetId="4" r:id="rId4"/>
    <sheet name="Sample Dashboard Index" sheetId="5" r:id="rId5"/>
    <sheet name="Sample - Executive" sheetId="6" r:id="rId6"/>
    <sheet name="Sample - Cost Movement" sheetId="7" r:id="rId7"/>
    <sheet name="Sample - Savings" sheetId="8" r:id="rId8"/>
    <sheet name="Sample - Production" sheetId="9" r:id="rId9"/>
    <sheet name="Sample - Buyer" sheetId="10" r:id="rId10"/>
    <sheet name="Sample - Suppliers" sheetId="11" r:id="rId11"/>
    <sheet name="Sample - Forecast" sheetId="12" r:id="rId12"/>
    <sheet name="40 Min POC Plan" sheetId="13" r:id="rId13"/>
    <sheet name="Minute-by-Minute Script" sheetId="14" r:id="rId14"/>
    <sheet name="Focused Features" sheetId="15" r:id="rId15"/>
  </sheets>
  <definedNames>
    <definedName name="_xlnm._FilterDatabase" localSheetId="0" hidden="1">'Revised 40 Min Plan'!$A$4:$G$14</definedName>
    <definedName name="_xlnm._FilterDatabase" localSheetId="1" hidden="1">'Dashboard Storyboard'!$A$4:$H$11</definedName>
    <definedName name="_xlnm._FilterDatabase" localSheetId="2" hidden="1">'Demo Hierarchy &amp; Data'!$A$4:$F$10</definedName>
    <definedName name="_xlnm._FilterDatabase" localSheetId="3" hidden="1">'Board Demo Script'!$A$4:$E$14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https://www.skoda-auto.co.in/models/range</t>
        </r>
      </text>
    </comment>
  </commentList>
</comments>
</file>

<file path=xl/sharedStrings.xml><?xml version="1.0" encoding="utf-8"?>
<sst xmlns="http://schemas.openxmlformats.org/spreadsheetml/2006/main" count="797" uniqueCount="676">
  <si>
    <t>SKODA DIGITAL PROCUREMENT POC - REVISED 40-MINUTE BOARD DEMO</t>
  </si>
  <si>
    <t>Recommendation updated after client feedback: lead with cross-module dashboards, hierarchy drill-down and measurable business outcomes.</t>
  </si>
  <si>
    <t>Phase</t>
  </si>
  <si>
    <t>Duration</t>
  </si>
  <si>
    <t>What to Show</t>
  </si>
  <si>
    <t>Board-Level Story</t>
  </si>
  <si>
    <t>Interaction / Drill-down</t>
  </si>
  <si>
    <t>Primary Visual</t>
  </si>
  <si>
    <t>Decision Outcome</t>
  </si>
  <si>
    <t>1. Executive Opening</t>
  </si>
  <si>
    <t>2 mins</t>
  </si>
  <si>
    <t>One-page procurement command centre: total material cost, savings, YoY production, supplier concentration and exceptions.</t>
  </si>
  <si>
    <t>Start with outcomes and enterprise visibility rather than navigation.</t>
  </si>
  <si>
    <t>Select car/model and reporting period.</t>
  </si>
  <si>
    <t>KPI cards + trend + alert summary</t>
  </si>
  <si>
    <t>Establish relevance for board members in the first 3 minutes.</t>
  </si>
  <si>
    <t>2. Material Cost Movement</t>
  </si>
  <si>
    <t>7 mins</t>
  </si>
  <si>
    <t>Material cost movement across Car → Vertical → Part. Include budget/forecast/current and nomination-to-SOP movement.</t>
  </si>
  <si>
    <t>Explain what changed, where it changed and the value impact.</t>
  </si>
  <si>
    <t>Drill from a selected SKODA India model to Powertrain / Exterior / Body &amp; Comfort, then to top variance parts.</t>
  </si>
  <si>
    <t>Waterfall + variance bars + hierarchical drill path</t>
  </si>
  <si>
    <t>Identify cost pressure and ownership quickly.</t>
  </si>
  <si>
    <t>3. Material Cost Savings</t>
  </si>
  <si>
    <t>6 mins</t>
  </si>
  <si>
    <t>Savings achieved vs target, by car, vertical, part and savings lever.</t>
  </si>
  <si>
    <t>Show realized value, pipeline and gap to target.</t>
  </si>
  <si>
    <t>Drill from total savings to vertical, part and buyer.</t>
  </si>
  <si>
    <t>Savings KPI cards + target/actual bars + monthly trend</t>
  </si>
  <si>
    <t>Demonstrate measurable procurement contribution.</t>
  </si>
  <si>
    <t>4. Production Comparison</t>
  </si>
  <si>
    <t>4 mins</t>
  </si>
  <si>
    <t>Last year vs current year production trend with material-cost-per-vehicle context.</t>
  </si>
  <si>
    <t>Connect volume change with procurement cost and savings performance.</t>
  </si>
  <si>
    <t>Filter by car/model and month; highlight major divergence.</t>
  </si>
  <si>
    <t>Dual-line trend + variance callouts</t>
  </si>
  <si>
    <t>Separate volume-driven movement from price-driven movement.</t>
  </si>
  <si>
    <t>5. Buyer Performance View</t>
  </si>
  <si>
    <t>Role-based buyer dashboard showing assigned verticals, parts, savings achieved, open opportunities and top variances.</t>
  </si>
  <si>
    <t>Show accountability without exposing irrelevant portfolios.</t>
  </si>
  <si>
    <t>Log in / switch to a buyer persona and drill to assigned parts.</t>
  </si>
  <si>
    <t>Buyer scorecard + ranked opportunity list</t>
  </si>
  <si>
    <t>Demonstrate role-based actionability.</t>
  </si>
  <si>
    <t>6. Top 5 Suppliers</t>
  </si>
  <si>
    <t>3 mins</t>
  </si>
  <si>
    <t>Top 5 suppliers by spend/savings, with savings achieved, price movement and opportunity/risk indicators.</t>
  </si>
  <si>
    <t>Show supplier concentration and negotiation focus.</t>
  </si>
  <si>
    <t>Click one supplier to see affected cars, verticals and parts.</t>
  </si>
  <si>
    <t>Bubble/bar chart + supplier detail panel</t>
  </si>
  <si>
    <t>Prioritize supplier-led interventions.</t>
  </si>
  <si>
    <t>7. Forecasting &amp; Cost Impact</t>
  </si>
  <si>
    <t>5 mins</t>
  </si>
  <si>
    <t>Forward-looking commodity/material and forex scenario showing forecast movement and estimated impact on material cost and overall vehicle cost.</t>
  </si>
  <si>
    <t>Move from historical explanation to a forward-looking board view: what could happen to car cost if material prices or FX move?</t>
  </si>
  <si>
    <t>Select car/model, material/commodity and currency; compare base vs forecast/scenario and drill to vertical/part exposure.</t>
  </si>
  <si>
    <t>Forecast trend + sensitivity / impact bridge</t>
  </si>
  <si>
    <t>Quantify potential exposure early and support sourcing, hedging and commercial decisions.</t>
  </si>
  <si>
    <t>8. AI Insight &amp; Chatbot</t>
  </si>
  <si>
    <t>Ask questions grounded in the same dashboards, e.g., top cost increases, savings gaps and supplier opportunities.</t>
  </si>
  <si>
    <t>Position AI as an interpretation layer over governed dashboard data.</t>
  </si>
  <si>
    <t>Use 2 pre-tested board questions; show chart plus concise answer.</t>
  </si>
  <si>
    <t>Conversational response + auto-chart</t>
  </si>
  <si>
    <t>Convert dashboard insight into fast management answers.</t>
  </si>
  <si>
    <t>9. Workflow Proof Point</t>
  </si>
  <si>
    <t>Quick AEKO/technical-change extraction or one alert-to-action example.</t>
  </si>
  <si>
    <t>Prove the platform also closes the loop from insight to action.</t>
  </si>
  <si>
    <t>Open the linked record from a dashboard exception.</t>
  </si>
  <si>
    <t>Side panel / extracted fields</t>
  </si>
  <si>
    <t>Connect analytics with operational execution.</t>
  </si>
  <si>
    <t>10. Wrap-up &amp; Q&amp;A</t>
  </si>
  <si>
    <t>Recap visibility, savings, accountability, supplier focus and AI-assisted decision support.</t>
  </si>
  <si>
    <t>End with board outcomes and proposed next step.</t>
  </si>
  <si>
    <t>Return to executive command centre.</t>
  </si>
  <si>
    <t>5-value summary</t>
  </si>
  <si>
    <t>Leave a clear business-value message.</t>
  </si>
  <si>
    <t>Recommended emphasis</t>
  </si>
  <si>
    <t>Dashboard-first narrative with a forward-looking forecasting segment: material/commodity + forex exposure translated into impact on overall vehicle cost, followed by AI interpretation and one workflow proof point.</t>
  </si>
  <si>
    <t>BOARD DASHBOARD STORYBOARD</t>
  </si>
  <si>
    <t>Each screen should answer one management question and support drill-down without changing the business narrative.</t>
  </si>
  <si>
    <t>#</t>
  </si>
  <si>
    <t>Dashboard</t>
  </si>
  <si>
    <t>Management Question</t>
  </si>
  <si>
    <t>Core KPIs</t>
  </si>
  <si>
    <t>Suggested Filters</t>
  </si>
  <si>
    <t>Drill-down Path</t>
  </si>
  <si>
    <t>Recommended Visuals</t>
  </si>
  <si>
    <t>Talk Track</t>
  </si>
  <si>
    <t>Executive Procurement Command Centre</t>
  </si>
  <si>
    <t>Are material costs and savings moving in the right direction?</t>
  </si>
  <si>
    <t>Total material cost; savings achieved; savings pipeline; YoY production variance; supplier concentration; open exceptions</t>
  </si>
  <si>
    <t>Period; car/model; plant; status</t>
  </si>
  <si>
    <t>Enterprise → Car → Vertical → Part / Supplier / Buyer</t>
  </si>
  <si>
    <t>KPI cards; cost trend; savings trend; exception heatmap</t>
  </si>
  <si>
    <t>Begin with a 60-second portfolio view, then choose one model with a meaningful variance.</t>
  </si>
  <si>
    <t>Material Cost Movement</t>
  </si>
  <si>
    <t>What caused the cost movement?</t>
  </si>
  <si>
    <t>Current cost; baseline; absolute variance; variance %; cost per vehicle</t>
  </si>
  <si>
    <t>Car; vertical; part; commodity; supplier</t>
  </si>
  <si>
    <t>Car → Vertical → Part → price milestones</t>
  </si>
  <si>
    <t>Waterfall; decomposition tree; variance bars; part detail</t>
  </si>
  <si>
    <t>Show one red variance, explain its driver and open the responsible part.</t>
  </si>
  <si>
    <t>Material Cost Savings</t>
  </si>
  <si>
    <t>How much value was realized and where is the remaining opportunity?</t>
  </si>
  <si>
    <t>Target; achieved; validated; pipeline; gap; savings per vehicle</t>
  </si>
  <si>
    <t>Car; vertical; buyer; supplier; savings lever</t>
  </si>
  <si>
    <t>Total → Car → Vertical → Buyer → Part</t>
  </si>
  <si>
    <t>Target/actual bars; monthly line; savings funnel; opportunity table</t>
  </si>
  <si>
    <t>Distinguish realized savings from pipeline to maintain board credibility.</t>
  </si>
  <si>
    <t>Production YoY Comparison</t>
  </si>
  <si>
    <t>Is cost movement explained by volume or procurement performance?</t>
  </si>
  <si>
    <t>Current-year units; prior-year units; YoY variance; material cost per vehicle</t>
  </si>
  <si>
    <t>Car; month; plant</t>
  </si>
  <si>
    <t>Year → Month → Car</t>
  </si>
  <si>
    <t>Dual-line trend; variance columns; cost-per-vehicle overlay</t>
  </si>
  <si>
    <t>Use volume context before attributing movement to purchasing performance.</t>
  </si>
  <si>
    <t>Buyer Workspace</t>
  </si>
  <si>
    <t>What should each buyer act on now?</t>
  </si>
  <si>
    <t>Savings achieved; target attainment; assigned spend; open opportunity; overdue actions</t>
  </si>
  <si>
    <t>Buyer; vertical; car; status</t>
  </si>
  <si>
    <t>Buyer → Vertical → Part → Supplier</t>
  </si>
  <si>
    <t>Buyer scorecard; opportunity list; action aging</t>
  </si>
  <si>
    <t>Switch to buyer persona and show only the relevant verticals and parts.</t>
  </si>
  <si>
    <t>Top 5 Supplier Savings</t>
  </si>
  <si>
    <t>Which suppliers require recognition, negotiation or escalation?</t>
  </si>
  <si>
    <t>Spend; achieved savings; savings %; price variance; open opportunity; risk count</t>
  </si>
  <si>
    <t>Car; vertical; commodity; period</t>
  </si>
  <si>
    <t>Supplier → Car → Vertical → Part</t>
  </si>
  <si>
    <t>Ranked bars; bubble chart; supplier detail drawer</t>
  </si>
  <si>
    <t>Use savings value and price movement together, rather than ranking on spend alone.</t>
  </si>
  <si>
    <t>Forecast &amp; Vehicle Cost Impact</t>
  </si>
  <si>
    <t>What is likely to happen to vehicle cost if material prices or forex move?</t>
  </si>
  <si>
    <t>Forecast material/commodity index; forex rate/exposure; forecast material cost; cost-per-vehicle impact; variance vs baseline</t>
  </si>
  <si>
    <t>Car/model; period; material/commodity; currency; supplier; scenario</t>
  </si>
  <si>
    <t>Car → Vertical → Part / Supplier → Currency or commodity exposure</t>
  </si>
  <si>
    <t>Forecast line with confidence/range; FX/material sensitivity bars; vehicle-cost impact waterfall</t>
  </si>
  <si>
    <t>Start with the base case, apply a material/FX scenario, and show how the impact rolls up from affected parts to the overall car cost.</t>
  </si>
  <si>
    <t>DEMO HIERARCHY, FILTERS AND SAMPLE-DATA PLAN</t>
  </si>
  <si>
    <t>Use client-approved or clearly labelled synthetic values. Vehicle names below reflect the current Škoda India range for demo filters.</t>
  </si>
  <si>
    <t>Level</t>
  </si>
  <si>
    <t>Recommended Demo Values</t>
  </si>
  <si>
    <t>Purpose</t>
  </si>
  <si>
    <t>Minimum Data Fields</t>
  </si>
  <si>
    <t>Story to Demonstrate</t>
  </si>
  <si>
    <t>Data Note</t>
  </si>
  <si>
    <t>Car / Model</t>
  </si>
  <si>
    <t>Kylaq; Kushaq; Slavia; Kodiaq; Superb; Octavia RS</t>
  </si>
  <si>
    <t>Top-level board filter and portfolio comparison.</t>
  </si>
  <si>
    <t>Model ID; model name; period; production units; material cost; savings target; savings achieved; baseline cost/vehicle; forecast cost/vehicle; FX/material impact</t>
  </si>
  <si>
    <t>Select one model and carry the same context through historical dashboards into a forward cost-impact scenario.</t>
  </si>
  <si>
    <t>Official India model range checked on Škoda India website.</t>
  </si>
  <si>
    <t>Vertical</t>
  </si>
  <si>
    <t>Powertrain; Exterior; Body &amp; Comfort (BC); Interior; Electrical/Electronics; Chassis</t>
  </si>
  <si>
    <t>Management ownership and cost decomposition.</t>
  </si>
  <si>
    <t>Vertical ID/name; model mapping; owner; spend; variance; savings</t>
  </si>
  <si>
    <t>Show which vertical contributes most to cost increase and savings.</t>
  </si>
  <si>
    <t>Final terminology and vertical list should be confirmed with the client.</t>
  </si>
  <si>
    <t>Part</t>
  </si>
  <si>
    <t>Use 8-12 representative parts across 3 verticals</t>
  </si>
  <si>
    <t>Lowest-level explanation and buyer action.</t>
  </si>
  <si>
    <t>Part no.; description; model; vertical; supplier; buyer; baseline/current price; volume; variance; saving; material/commodity exposure; currency exposure; forecast price</t>
  </si>
  <si>
    <t>Open one high-variance part and show price journey plus action.</t>
  </si>
  <si>
    <t>Prefer client sample data; otherwise mark data as illustrative.</t>
  </si>
  <si>
    <t>Buyer</t>
  </si>
  <si>
    <t>2-3 personas mapped to specific verticals and parts</t>
  </si>
  <si>
    <t>Demonstrate role-based relevance and accountability.</t>
  </si>
  <si>
    <t>Buyer; assigned verticals/parts; target; achieved; pipeline; actions; aging</t>
  </si>
  <si>
    <t>Buyer sees only assigned scope, savings and next actions.</t>
  </si>
  <si>
    <t>Avoid individual ranking; focus on portfolio status and actions.</t>
  </si>
  <si>
    <t>Supplier</t>
  </si>
  <si>
    <t>At least 8 suppliers so Top 5 is meaningful</t>
  </si>
  <si>
    <t>Supplier concentration, savings and negotiation focus.</t>
  </si>
  <si>
    <t>Supplier; spend; savings; price variance; number of parts; models served; risk/opportunity status</t>
  </si>
  <si>
    <t>Select a Top 5 supplier and trace impact across models and parts.</t>
  </si>
  <si>
    <t>Use anonymized supplier names if confidentiality requires it.</t>
  </si>
  <si>
    <t>Time</t>
  </si>
  <si>
    <t>Monthly prior year and current year + forward forecast horizon</t>
  </si>
  <si>
    <t>Trend and seasonality comparison.</t>
  </si>
  <si>
    <t>Month; production units; material cost; cost/vehicle; savings achieved; forecast material index; FX rate/scenario</t>
  </si>
  <si>
    <t>Show historical trend, then extend into a forward scenario and quantify estimated vehicle-cost impact.</t>
  </si>
  <si>
    <t>Use complete comparable periods only.</t>
  </si>
  <si>
    <t>MINUTE-BY-MINUTE BOARD DEMO SCRIPT</t>
  </si>
  <si>
    <t>Keep navigation commentary minimal. Every transition should answer: What changed? Why? Where? Who acts? What value?</t>
  </si>
  <si>
    <t>Screen / Action</t>
  </si>
  <si>
    <t>Suggested Narrative</t>
  </si>
  <si>
    <t>Board Question Answered</t>
  </si>
  <si>
    <t>Fallback if Drill-down Fails</t>
  </si>
  <si>
    <t>0:00-2:00</t>
  </si>
  <si>
    <t>Executive command centre</t>
  </si>
  <si>
    <t>Open with material cost, savings, production, supplier focus and exceptions. Select one model and carry it through the story.</t>
  </si>
  <si>
    <t>Where are we today?</t>
  </si>
  <si>
    <t>Use a pre-filtered summary.</t>
  </si>
  <si>
    <t>2:00-9:00</t>
  </si>
  <si>
    <t>Material cost movement: Car → Vertical → Part</t>
  </si>
  <si>
    <t>Identify the largest movement, drill to vertical and part, and show the price journey.</t>
  </si>
  <si>
    <t>What changed and where?</t>
  </si>
  <si>
    <t>Use bookmarked drill states.</t>
  </si>
  <si>
    <t>9:00-15:00</t>
  </si>
  <si>
    <t>Savings dashboard</t>
  </si>
  <si>
    <t>Compare target, achieved and pipeline; drill to vertical, buyer and part.</t>
  </si>
  <si>
    <t>What value has procurement delivered?</t>
  </si>
  <si>
    <t>Use prepared savings detail.</t>
  </si>
  <si>
    <t>15:00-19:00</t>
  </si>
  <si>
    <t>Production YoY comparison</t>
  </si>
  <si>
    <t>Compare prior/current production with material cost per vehicle.</t>
  </si>
  <si>
    <t>Is movement volume-led or price-led?</t>
  </si>
  <si>
    <t>Use static trend and callouts.</t>
  </si>
  <si>
    <t>19:00-23:00</t>
  </si>
  <si>
    <t>Buyer role-based dashboard</t>
  </si>
  <si>
    <t>Show assigned verticals/parts, savings, open opportunities and actions.</t>
  </si>
  <si>
    <t>Who owns the next action?</t>
  </si>
  <si>
    <t>Use role-filtered saved view.</t>
  </si>
  <si>
    <t>23:00-26:00</t>
  </si>
  <si>
    <t>Top 5 suppliers</t>
  </si>
  <si>
    <t>Show savings achieved, spend, price movement and open opportunity; drill into one supplier.</t>
  </si>
  <si>
    <t>Where should supplier action focus?</t>
  </si>
  <si>
    <t>Use top-5 table/detail pane.</t>
  </si>
  <si>
    <t>26:00-31:00</t>
  </si>
  <si>
    <t>Forecasting: material + forex → vehicle cost</t>
  </si>
  <si>
    <t>Show a forward material/commodity forecast and forex scenario. Translate the change into affected part/vertical cost and then the estimated impact on overall cost per car. Compare base case vs forecast/scenario.</t>
  </si>
  <si>
    <t>What could happen to our car cost, and which variables create the exposure?</t>
  </si>
  <si>
    <t>Use pre-calculated base/upside/downside scenarios if live forecasting is unavailable.</t>
  </si>
  <si>
    <t>31:00-35:00</t>
  </si>
  <si>
    <t>AI insight / chatbot</t>
  </si>
  <si>
    <t>Ask which vertical drives the forecast cost increase and which supplier/material or currency exposure contributes most.</t>
  </si>
  <si>
    <t>Can management interrogate the forecast quickly?</t>
  </si>
  <si>
    <t>Use pre-tested prompts.</t>
  </si>
  <si>
    <t>35:00-37:00</t>
  </si>
  <si>
    <t>Workflow proof point</t>
  </si>
  <si>
    <t>Open a dashboard exception and linked technical-change / AEKO record.</t>
  </si>
  <si>
    <t>Can insight lead to action?</t>
  </si>
  <si>
    <t>Use captured extraction result.</t>
  </si>
  <si>
    <t>37:00-40:00</t>
  </si>
  <si>
    <t>Close and Q&amp;A</t>
  </si>
  <si>
    <t>Recap visibility, savings, forward cost exposure, accountability, supplier focus and AI-assisted decisions.</t>
  </si>
  <si>
    <t>What business outcome does the platform enable?</t>
  </si>
  <si>
    <t>Return to command centre.</t>
  </si>
  <si>
    <t>SAMPLE DASHBOARD INDEX</t>
  </si>
  <si>
    <t>ILLUSTRATIVE / SYNTHETIC DEMO DATA | Illustrative mock-ups to guide UI and Power BI/dashboard development</t>
  </si>
  <si>
    <t>Sample Sheet</t>
  </si>
  <si>
    <t>Board Question</t>
  </si>
  <si>
    <t>Recommended Live Interaction</t>
  </si>
  <si>
    <t>Sample - Executive</t>
  </si>
  <si>
    <t>Select Kodiaq and carry filter context</t>
  </si>
  <si>
    <t>Sample - Cost Movement</t>
  </si>
  <si>
    <t>Car → Vertical → Part</t>
  </si>
  <si>
    <t>Sample - Savings</t>
  </si>
  <si>
    <t>What value was delivered?</t>
  </si>
  <si>
    <t>Target → Vertical → Buyer → Part</t>
  </si>
  <si>
    <t>Sample - Production</t>
  </si>
  <si>
    <t>Month and model filter</t>
  </si>
  <si>
    <t>Sample - Buyer</t>
  </si>
  <si>
    <t>Who acts next?</t>
  </si>
  <si>
    <t>Persona / role switch</t>
  </si>
  <si>
    <t>Sample - Suppliers</t>
  </si>
  <si>
    <t>Supplier → Model → Part</t>
  </si>
  <si>
    <t>Sample - Forecast</t>
  </si>
  <si>
    <t>What could happen next?</t>
  </si>
  <si>
    <t>Base, favorable and stress scenarios</t>
  </si>
  <si>
    <t>BOARD-LEVEL INSIGHT: Use the same selected model across all screens. This creates a single board narrative rather than seven disconnected reports.</t>
  </si>
  <si>
    <t>EXECUTIVE PROCUREMENT COMMAND CENTRE</t>
  </si>
  <si>
    <t>ILLUSTRATIVE / SYNTHETIC DEMO DATA | Board view across cost, savings, production, suppliers and exceptions</t>
  </si>
  <si>
    <t>Material Cost
₹1,248 Cr</t>
  </si>
  <si>
    <t>Savings Achieved
₹42.6 Cr</t>
  </si>
  <si>
    <t>Savings vs Target
91%</t>
  </si>
  <si>
    <t>YoY Production
+8.2%</t>
  </si>
  <si>
    <t>Open Exceptions
17</t>
  </si>
  <si>
    <t>Month</t>
  </si>
  <si>
    <t>Material Cost (₹ Cr)</t>
  </si>
  <si>
    <t>Savings (₹ Cr)</t>
  </si>
  <si>
    <t>Apr</t>
  </si>
  <si>
    <t>May</t>
  </si>
  <si>
    <t>Jun</t>
  </si>
  <si>
    <t>Jul</t>
  </si>
  <si>
    <t>Aug</t>
  </si>
  <si>
    <t>Sep</t>
  </si>
  <si>
    <t>Model</t>
  </si>
  <si>
    <t>Exceptions</t>
  </si>
  <si>
    <t>Kylaq</t>
  </si>
  <si>
    <t>Kushaq</t>
  </si>
  <si>
    <t>Slavia</t>
  </si>
  <si>
    <t>Kodiaq</t>
  </si>
  <si>
    <t>Superb</t>
  </si>
  <si>
    <t>Octavia RS</t>
  </si>
  <si>
    <t>BOARD-LEVEL INSIGHT: Overall savings are at 91% of target. Kodiaq carries the largest cost base and the highest exception count, making it the recommended model for the live drill-down.</t>
  </si>
  <si>
    <t>MATERIAL COST MOVEMENT</t>
  </si>
  <si>
    <t>ILLUSTRATIVE / SYNTHETIC DEMO DATA | Selected model: Kodiaq | Hierarchy: Car → Vertical → Part</t>
  </si>
  <si>
    <t>Baseline Cost/Car
₹14.20 L</t>
  </si>
  <si>
    <t>Current Cost/Car
₹14.66 L</t>
  </si>
  <si>
    <t>Net Movement
+₹46,000</t>
  </si>
  <si>
    <t>Variance
+3.2%</t>
  </si>
  <si>
    <t>Baseline (₹ L/car)</t>
  </si>
  <si>
    <t>Current (₹ L/car)</t>
  </si>
  <si>
    <t>Movement (₹ L)</t>
  </si>
  <si>
    <t>Variance %</t>
  </si>
  <si>
    <t>Powertrain</t>
  </si>
  <si>
    <t>Exterior</t>
  </si>
  <si>
    <t>Body &amp; Comfort</t>
  </si>
  <si>
    <t>Electrical/Electronics</t>
  </si>
  <si>
    <t>Interior</t>
  </si>
  <si>
    <t>Chassis</t>
  </si>
  <si>
    <t>Top Variance Part</t>
  </si>
  <si>
    <t>Increase (₹ L/car)</t>
  </si>
  <si>
    <t>Primary Driver</t>
  </si>
  <si>
    <t>Engine Control Unit</t>
  </si>
  <si>
    <t>Supplier C</t>
  </si>
  <si>
    <t>FX + semiconductor</t>
  </si>
  <si>
    <t>Turbocharger</t>
  </si>
  <si>
    <t>Supplier A</t>
  </si>
  <si>
    <t>Steel alloy + FX</t>
  </si>
  <si>
    <t>Front Bumper</t>
  </si>
  <si>
    <t>Supplier D</t>
  </si>
  <si>
    <t>Polymer</t>
  </si>
  <si>
    <t>Seat mechanism</t>
  </si>
  <si>
    <t>Supplier B</t>
  </si>
  <si>
    <t>Steel</t>
  </si>
  <si>
    <t>Infotainment</t>
  </si>
  <si>
    <t>Supplier E</t>
  </si>
  <si>
    <t>FX</t>
  </si>
  <si>
    <t>Wiring harness</t>
  </si>
  <si>
    <t>Supplier F</t>
  </si>
  <si>
    <t>Copper</t>
  </si>
  <si>
    <t>BOARD-LEVEL INSIGHT: Powertrain contributes ₹0.22 lakh of the ₹0.46 lakh increase per car, approximately 48% of the net movement. ECU and turbocharger should be the first management review points.</t>
  </si>
  <si>
    <t>MATERIAL COST SAVINGS</t>
  </si>
  <si>
    <t>ILLUSTRATIVE / SYNTHETIC DEMO DATA | Realized value, pipeline and gap to target</t>
  </si>
  <si>
    <t>Annual Target
₹46.8 Cr</t>
  </si>
  <si>
    <t>Achieved
₹42.6 Cr</t>
  </si>
  <si>
    <t>Validated Pipeline
₹6.9 Cr</t>
  </si>
  <si>
    <t>Gap to Target
₹4.2 Cr</t>
  </si>
  <si>
    <t>Target (₹ Cr)</t>
  </si>
  <si>
    <t>Achieved (₹ Cr)</t>
  </si>
  <si>
    <t>Attainment %</t>
  </si>
  <si>
    <t>Pipeline (₹ Cr)</t>
  </si>
  <si>
    <t>Planned (₹ Cr)</t>
  </si>
  <si>
    <t>BOARD-LEVEL INSIGHT: Validated pipeline of ₹6.9 Cr is sufficient to close the ₹4.2 Cr target gap. Conversion should focus on Powertrain and Electrical/Electronics, which together hold ₹3.4 Cr of pipeline.</t>
  </si>
  <si>
    <t>PRODUCTION: PRIOR YEAR VS CURRENT YEAR</t>
  </si>
  <si>
    <t>ILLUSTRATIVE / SYNTHETIC DEMO DATA | Volume context for interpreting procurement cost movement</t>
  </si>
  <si>
    <t>Prior-Year Units
52,200</t>
  </si>
  <si>
    <t>Current-Year Units
56,480</t>
  </si>
  <si>
    <t>YoY Growth
+8.2%</t>
  </si>
  <si>
    <t>Cost/Vehicle
+3.2%</t>
  </si>
  <si>
    <t>Prior Year Units</t>
  </si>
  <si>
    <t>Current Year Units</t>
  </si>
  <si>
    <t>YoY %</t>
  </si>
  <si>
    <t>Material Cost/Vehicle (₹ L)</t>
  </si>
  <si>
    <t>BOARD-LEVEL INSIGHT: Production increased 8.2%, while cost per vehicle also increased 3.2%. The unit-cost increase indicates that the movement is not explained by volume alone and requires part-level cost action.</t>
  </si>
  <si>
    <t>BUYER WORKSPACE</t>
  </si>
  <si>
    <t>ILLUSTRATIVE / SYNTHETIC DEMO DATA | Role-based action view | Sample persona: Buyer A</t>
  </si>
  <si>
    <t>Assigned Spend
₹186 Cr</t>
  </si>
  <si>
    <t>Savings Target
₹8.5 Cr</t>
  </si>
  <si>
    <t>Savings Achieved
₹7.3 Cr</t>
  </si>
  <si>
    <t>Open Opportunity
₹2.4 Cr</t>
  </si>
  <si>
    <t>Overdue Actions
6</t>
  </si>
  <si>
    <t>Opportunity (₹ Cr)</t>
  </si>
  <si>
    <t>Status</t>
  </si>
  <si>
    <t>Age</t>
  </si>
  <si>
    <t>Negotiation</t>
  </si>
  <si>
    <t>12 days</t>
  </si>
  <si>
    <t>Cost breakdown</t>
  </si>
  <si>
    <t>8 days</t>
  </si>
  <si>
    <t>Validation</t>
  </si>
  <si>
    <t>5 days</t>
  </si>
  <si>
    <t>Front bumper</t>
  </si>
  <si>
    <t>Commercial</t>
  </si>
  <si>
    <t>3 days</t>
  </si>
  <si>
    <t>Cooling module</t>
  </si>
  <si>
    <t>Supplier G</t>
  </si>
  <si>
    <t>Closed</t>
  </si>
  <si>
    <t>-</t>
  </si>
  <si>
    <t>Window regulator</t>
  </si>
  <si>
    <t>Supplier H</t>
  </si>
  <si>
    <t>Supplier input</t>
  </si>
  <si>
    <t>7 days</t>
  </si>
  <si>
    <t>Priority Actions for Buyer A</t>
  </si>
  <si>
    <t>Priority</t>
  </si>
  <si>
    <t>Required Action</t>
  </si>
  <si>
    <t>Potential Value</t>
  </si>
  <si>
    <t>Target</t>
  </si>
  <si>
    <t>1</t>
  </si>
  <si>
    <t>ECU</t>
  </si>
  <si>
    <t>Complete supplier negotiation</t>
  </si>
  <si>
    <t>₹0.6 Cr</t>
  </si>
  <si>
    <t>This week</t>
  </si>
  <si>
    <t>2</t>
  </si>
  <si>
    <t>Validate alloy index pass-through</t>
  </si>
  <si>
    <t>₹0.3 Cr</t>
  </si>
  <si>
    <t>3</t>
  </si>
  <si>
    <t>Close technical validation</t>
  </si>
  <si>
    <t>₹0.2 Cr</t>
  </si>
  <si>
    <t>Next week</t>
  </si>
  <si>
    <t>BOARD-LEVEL INSIGHT: Buyer A is at 86% of target. Closing the top three actions can add ₹1.1 Cr and move the portfolio close to full-year target attainment.</t>
  </si>
  <si>
    <t>TOP 5 SUPPLIERS: SAVINGS &amp; OPPORTUNITY</t>
  </si>
  <si>
    <t>ILLUSTRATIVE / SYNTHETIC DEMO DATA | Prioritize recognition, negotiation and escalation</t>
  </si>
  <si>
    <t>Top-5 Spend
₹418 Cr</t>
  </si>
  <si>
    <t>Savings Achieved
₹18.7 Cr</t>
  </si>
  <si>
    <t>Open Opportunity
₹7.3 Cr</t>
  </si>
  <si>
    <t>Largest Exposure
Supplier C</t>
  </si>
  <si>
    <t>Spend (₹ Cr)</t>
  </si>
  <si>
    <t>Savings %</t>
  </si>
  <si>
    <t>Open Opportunity (₹ Cr)</t>
  </si>
  <si>
    <t>Price Variance %</t>
  </si>
  <si>
    <t>Models</t>
  </si>
  <si>
    <t>Key Parts</t>
  </si>
  <si>
    <t>Recommended Board Direction</t>
  </si>
  <si>
    <t>ECU / Infotainment</t>
  </si>
  <si>
    <t>Escalate: highest price variance and opportunity</t>
  </si>
  <si>
    <t>Kodiaq / Kushaq</t>
  </si>
  <si>
    <t>Negotiate alloy / FX linkage</t>
  </si>
  <si>
    <t>Slavia / Kushaq</t>
  </si>
  <si>
    <t>Display module</t>
  </si>
  <si>
    <t>Review FX exposure</t>
  </si>
  <si>
    <t>BOARD-LEVEL INSIGHT: Supplier C has the largest spend, the highest price variance and ₹2.6 Cr open opportunity. It should be the primary supplier escalation illustrated in the board demo.</t>
  </si>
  <si>
    <t>FORECAST &amp; VEHICLE COST IMPACT</t>
  </si>
  <si>
    <t>ILLUSTRATIVE / SYNTHETIC DEMO DATA | Selected model: Kodiaq | Material + forex scenario translated to overall vehicle cost</t>
  </si>
  <si>
    <t>Baseline Cost/Car
₹14.66 L</t>
  </si>
  <si>
    <t>Forecast Cost/Car
₹15.04 L</t>
  </si>
  <si>
    <t>Forecast Increase
₹38,000</t>
  </si>
  <si>
    <t>Increase %
+2.6%</t>
  </si>
  <si>
    <t>Annual Exposure
₹38.0 Cr</t>
  </si>
  <si>
    <t>Steel Index</t>
  </si>
  <si>
    <t>EUR/INR Scenario</t>
  </si>
  <si>
    <t>Oct</t>
  </si>
  <si>
    <t>Nov</t>
  </si>
  <si>
    <t>Dec</t>
  </si>
  <si>
    <t>Jan</t>
  </si>
  <si>
    <t>Feb</t>
  </si>
  <si>
    <t>Mar</t>
  </si>
  <si>
    <t>Forecast Driver</t>
  </si>
  <si>
    <t>Impact (₹ L/car)</t>
  </si>
  <si>
    <t>Primary Exposure</t>
  </si>
  <si>
    <t>Steel / alloys</t>
  </si>
  <si>
    <t>Powertrain, Chassis</t>
  </si>
  <si>
    <t>EUR/INR</t>
  </si>
  <si>
    <t>Powertrain, Electronics</t>
  </si>
  <si>
    <t>Semiconductors</t>
  </si>
  <si>
    <t>Electronics</t>
  </si>
  <si>
    <t>Polymers</t>
  </si>
  <si>
    <t>Exterior, Interior</t>
  </si>
  <si>
    <t>Savings mitigation</t>
  </si>
  <si>
    <t>Cross-vertical</t>
  </si>
  <si>
    <t>Other</t>
  </si>
  <si>
    <t>Multiple</t>
  </si>
  <si>
    <t>Scenario Sensitivity</t>
  </si>
  <si>
    <t>Scenario</t>
  </si>
  <si>
    <t>Steel Change</t>
  </si>
  <si>
    <t>Estimated Cost/Car (₹ L)</t>
  </si>
  <si>
    <t>Change vs Baseline</t>
  </si>
  <si>
    <t>Annual Exposure at 10,000 cars (₹ Cr)</t>
  </si>
  <si>
    <t>Downside / Favorable</t>
  </si>
  <si>
    <t>-3%</t>
  </si>
  <si>
    <t>96.0</t>
  </si>
  <si>
    <t>Base Forecast</t>
  </si>
  <si>
    <t>+8%</t>
  </si>
  <si>
    <t>101.8</t>
  </si>
  <si>
    <t>Stress</t>
  </si>
  <si>
    <t>+12%</t>
  </si>
  <si>
    <t>104.0</t>
  </si>
  <si>
    <t>BOARD-LEVEL INSIGHT: In the base forecast, material and FX effects increase cost by ₹0.38 lakh per car. Steel/alloys and EUR exposure contribute ₹0.25 lakh, around two-thirds of the projected increase; these are the priority sourcing and hedging levers.</t>
  </si>
  <si>
    <t>SKODA DIGITAL PROCUREMENT POC - 40 MINUTE DEMO PLAN</t>
  </si>
  <si>
    <t>🎯 STRATEGY: Focus on AI Differentiators + One Complete E2E Flow</t>
  </si>
  <si>
    <t>Features to Demo</t>
  </si>
  <si>
    <t>Key Actions</t>
  </si>
  <si>
    <t>Wow Factor</t>
  </si>
  <si>
    <t>SKODA Requirement Addressed</t>
  </si>
  <si>
    <t>1. Opening &amp; Context</t>
  </si>
  <si>
    <t>Platform Overview</t>
  </si>
  <si>
    <t>• Show landing page
• Explain 3 modules
• Role-based access demo</t>
  </si>
  <si>
    <t>Clean, professional UI</t>
  </si>
  <si>
    <t>SSO/PKI, Role Management</t>
  </si>
  <si>
    <t>2. AI Forecasting (STAR)</t>
  </si>
  <si>
    <t>10 mins</t>
  </si>
  <si>
    <t>• Steel Price Forecast
• Forex Risk Analysis
• Savings Opportunities</t>
  </si>
  <si>
    <t>• Show ML prediction chart
• Demonstrate risk alert
• Display savings potential list</t>
  </si>
  <si>
    <t>🌟 AI predicts future costs
🌟 Proactive risk alerts
🌟 Steel savings identified</t>
  </si>
  <si>
    <t>Forecasting - Commodity, Forex, Yearly Savings, Steel Cost Savings</t>
  </si>
  <si>
    <t>3. AI Chatbot Live Demo</t>
  </si>
  <si>
    <t>8 mins</t>
  </si>
  <si>
    <t>• Natural Language Query
• Price History Lookup
• Graphical Response</t>
  </si>
  <si>
    <t>• Type: 'Show price history of part X'
• Let SKODA ask questions
• Show &lt;30 sec response</t>
  </si>
  <si>
    <t>🌟 Instant answers
🌟 Text + Charts
🌟 No manual lookup needed</t>
  </si>
  <si>
    <t>AI BOT &lt;30 sec response, Historical Price queries, Text + Graphical output</t>
  </si>
  <si>
    <t>4. Material Cost Dashboard</t>
  </si>
  <si>
    <t>• Price Movement Tracker
• BG vs FC Cost Walk
• Drill-down capability</t>
  </si>
  <si>
    <t>• Show price from Nomination→SOP
• Display waterfall chart
• Click to drill into details</t>
  </si>
  <si>
    <t>🌟 Complete visibility
🌟 Finance-ready view
🌟 Interactive analytics</t>
  </si>
  <si>
    <t>Track Part Price movement, Material Cost Dashboard</t>
  </si>
  <si>
    <t>5. E2E: Technical Change Flow</t>
  </si>
  <si>
    <t>• AEKO Document Upload
• AI Reads &amp; Extracts
• Evaluation Sheet Generated</t>
  </si>
  <si>
    <t>• Upload sample AEKO PDF
• AI extracts key fields
• Show auto-generated eval sheet</t>
  </si>
  <si>
    <t>🌟 AI reads documents
🌟 Hours→Minutes automation
🌟 Buyer gets ready template</t>
  </si>
  <si>
    <t>Technical Change Evaluation, Document Reading, MOD Sheet</t>
  </si>
  <si>
    <t>6. SRM Dashboard (Quick)</t>
  </si>
  <si>
    <t>• Readiness Status (RGY)
• Milestone Timeline</t>
  </si>
  <si>
    <t>• Show RGY dashboard
• Display milestone Gantt view</t>
  </si>
  <si>
    <t>🌟 At-a-glance status
🌟 Risk identification</t>
  </si>
  <si>
    <t>Tooling Readiness Dashboard, SRM Status</t>
  </si>
  <si>
    <t>7. Wrap-up &amp; Q&amp;A</t>
  </si>
  <si>
    <t>• Key Benefits Recap
• Next Steps</t>
  </si>
  <si>
    <t>• Summarize value delivered
• Offer detailed follow-up demo</t>
  </si>
  <si>
    <t>Leave strong impression</t>
  </si>
  <si>
    <t>End-to-end coverage</t>
  </si>
  <si>
    <t>⏱️ TIME BUDGET SUMMARY</t>
  </si>
  <si>
    <t>🔑 KEY DECISIONS FOR 40 MIN CONSTRAINT</t>
  </si>
  <si>
    <t>Category</t>
  </si>
  <si>
    <t>% of Demo</t>
  </si>
  <si>
    <t>What We KEEP (High Impact)</t>
  </si>
  <si>
    <t>What We DROP (Show Later)</t>
  </si>
  <si>
    <t>AI Features (Forecasting + Chatbot)</t>
  </si>
  <si>
    <t>18 mins</t>
  </si>
  <si>
    <t>✅ AI Forecasting - Your differentiator</t>
  </si>
  <si>
    <t>❌ Procurement workflow details</t>
  </si>
  <si>
    <t>Dashboards (Material Cost + SRM)</t>
  </si>
  <si>
    <t>✅ AI Chatbot - Live interaction</t>
  </si>
  <si>
    <t>❌ Mass data upload demo</t>
  </si>
  <si>
    <t>E2E Workflow (Technical Change)</t>
  </si>
  <si>
    <t>✅ Material Cost Dashboard</t>
  </si>
  <si>
    <t>❌ Investment Benchmarking</t>
  </si>
  <si>
    <t>Opening + Closing</t>
  </si>
  <si>
    <t>✅ One E2E Flow (Tech Change)</t>
  </si>
  <si>
    <t>❌ Full SRM milestone demo</t>
  </si>
  <si>
    <t>TOTAL</t>
  </si>
  <si>
    <t>40 mins</t>
  </si>
  <si>
    <t>✅ SRM Dashboard (quick view)</t>
  </si>
  <si>
    <t>❌ Report/PPT generation</t>
  </si>
  <si>
    <t>✅ Key RFQ requirements mapped</t>
  </si>
  <si>
    <t>❌ Approval workflow details</t>
  </si>
  <si>
    <t>⚡ CRITICAL SUCCESS TIPS FOR 40-MIN DEMO</t>
  </si>
  <si>
    <t>💬 TOP 5 CHATBOT QUERIES TO DEMO</t>
  </si>
  <si>
    <t>Tip</t>
  </si>
  <si>
    <t>Why It Matters</t>
  </si>
  <si>
    <t>Action</t>
  </si>
  <si>
    <t>Query to Type/Say</t>
  </si>
  <si>
    <t>Expected Response</t>
  </si>
  <si>
    <t>Pre-load all screens</t>
  </si>
  <si>
    <t>No waiting = more demo time</t>
  </si>
  <si>
    <t>Have all tabs/screens ready before demo starts</t>
  </si>
  <si>
    <t>What is the price history of part [X]?</t>
  </si>
  <si>
    <t>Line chart + price milestones</t>
  </si>
  <si>
    <t>Use SKODA's sample data</t>
  </si>
  <si>
    <t>Authentic feel = higher credibility</t>
  </si>
  <si>
    <t>Request sample part numbers, prices from SKODA beforehand</t>
  </si>
  <si>
    <t>Forecast steel prices for next 6 months</t>
  </si>
  <si>
    <t>Trend prediction with confidence</t>
  </si>
  <si>
    <t>Let them ask chatbot questions</t>
  </si>
  <si>
    <t>Interactive = memorable</t>
  </si>
  <si>
    <t>Reserve 2-3 mins within chatbot demo for their queries</t>
  </si>
  <si>
    <t>What is my forex risk exposure?</t>
  </si>
  <si>
    <t>EUR/USD/CNY impact amount</t>
  </si>
  <si>
    <t>Skip navigation explanations</t>
  </si>
  <si>
    <t>They don't need UI training</t>
  </si>
  <si>
    <t>Focus on OUTCOMES not HOW to click</t>
  </si>
  <si>
    <t>Which tools are at risk for Q4?</t>
  </si>
  <si>
    <t>RGY list + recommendations</t>
  </si>
  <si>
    <t>Have backup responses ready</t>
  </si>
  <si>
    <t>AI can be unpredictable</t>
  </si>
  <si>
    <t>Pre-test 5-6 queries; know which ones work perfectly</t>
  </si>
  <si>
    <t>Show cost savings potential in steel</t>
  </si>
  <si>
    <t>Prioritized opportunities list</t>
  </si>
  <si>
    <t>End with Steel Savings</t>
  </si>
  <si>
    <t>Their explicit requirement</t>
  </si>
  <si>
    <t>Last impression: 'AI identified ₹X lakhs savings potential in steel'</t>
  </si>
  <si>
    <t>Offer follow-up deep-dive</t>
  </si>
  <si>
    <t>Creates next engagement</t>
  </si>
  <si>
    <t>Say: 'We can show Procurement workflows in detail next time'</t>
  </si>
  <si>
    <t>40-MINUTE POC DEMO SCRIPT</t>
  </si>
  <si>
    <t>What to Say</t>
  </si>
  <si>
    <t>0:00-1:00</t>
  </si>
  <si>
    <t>Welcome</t>
  </si>
  <si>
    <t>Login screen → Home dashboard</t>
  </si>
  <si>
    <t>Welcome to the Digital Procurement Platform. Let me show you how AI transforms your procurement process.</t>
  </si>
  <si>
    <t>1:00-3:00</t>
  </si>
  <si>
    <t>Module tiles, user role indicator</t>
  </si>
  <si>
    <t>The platform has 3 modules: Procurement, Technical Change, and SRM. Access is role-based. Let me start with our AI capabilities.</t>
  </si>
  <si>
    <t>3:00-7:00</t>
  </si>
  <si>
    <t>AI Forecasting: Steel</t>
  </si>
  <si>
    <t>Historical steel price chart → Forecast button → Prediction display</t>
  </si>
  <si>
    <t>Here's historical steel price data. Watch what happens when I click Forecast... The AI predicts prices for next 6 months with confidence intervals. See this alert? It flags risk when prices cross thresholds.</t>
  </si>
  <si>
    <t>7:00-10:00</t>
  </si>
  <si>
    <t>AI Forecasting: Forex</t>
  </si>
  <si>
    <t>EUR/INR chart → Forex exposure dashboard</t>
  </si>
  <si>
    <t>For forex, we track EUR, USD, CNY. Here's your exposure for Project X. The AI calculates impact on your material cost automatically.</t>
  </si>
  <si>
    <t>10:00-13:00</t>
  </si>
  <si>
    <t>AI: Savings Potential</t>
  </si>
  <si>
    <t>Cost savings dashboard → Steel category drill-down</t>
  </si>
  <si>
    <t>Now the exciting part - AI-identified savings. These are steel parts where we see cost reduction potential. Prioritized by impact. This directly addresses your RFQ requirement for steel savings.</t>
  </si>
  <si>
    <t>13:00-16:00</t>
  </si>
  <si>
    <t>AI Chatbot: Demo Query</t>
  </si>
  <si>
    <t>Chatbot interface → Type query → Response</t>
  </si>
  <si>
    <t>Let me show the AI chatbot. I'll ask: 'What is the price history of part 12345?' Watch - response in under 30 seconds, with both text explanation AND a chart.</t>
  </si>
  <si>
    <t>16:00-19:00</t>
  </si>
  <si>
    <t>AI Chatbot: Your Turn</t>
  </si>
  <si>
    <t>Invite SKODA to ask</t>
  </si>
  <si>
    <t>Would you like to try? Ask any question about parts, prices, suppliers, or status. [Let them interact]</t>
  </si>
  <si>
    <t>19:00-21:00</t>
  </si>
  <si>
    <t>AI Chatbot: Graphical</t>
  </si>
  <si>
    <t>Ask trend question → Auto-chart</t>
  </si>
  <si>
    <t>Notice how the AI generates charts automatically based on your question. No manual report creation needed.</t>
  </si>
  <si>
    <t>21:00-25:00</t>
  </si>
  <si>
    <t>Material Cost Dashboard</t>
  </si>
  <si>
    <t>Dashboard view → Price journey → Variance analysis</t>
  </si>
  <si>
    <t>Here's your Material Cost view. Track any part from nomination through SOP. See the variance? One click to drill into details. This is exactly what you asked for - price movement tracking.</t>
  </si>
  <si>
    <t>25:00-28:00</t>
  </si>
  <si>
    <t>BG vs FC Cost Walk</t>
  </si>
  <si>
    <t>Waterfall chart → Finance view</t>
  </si>
  <si>
    <t>For Finance, here's the BG vs FC comparison. Waterfall shows exactly where costs moved. Management-ready view without manual Excel work.</t>
  </si>
  <si>
    <t>28:00-30:00</t>
  </si>
  <si>
    <t>Tech Change: Upload</t>
  </si>
  <si>
    <t>File upload → Processing indicator</t>
  </si>
  <si>
    <t>Now Technical Change. I'll upload an AEKO document. Watch the AI processing...</t>
  </si>
  <si>
    <t>30:00-33:00</t>
  </si>
  <si>
    <t>Tech Change: AI Reading</t>
  </si>
  <si>
    <t>Extracted fields display → Original PDF side-by-side</t>
  </si>
  <si>
    <t>The AI extracted all key fields - part number, change type, impact, timeline. Compare to the original - accurate extraction. Hours of manual work done in seconds.</t>
  </si>
  <si>
    <t>33:00-35:00</t>
  </si>
  <si>
    <t>Tech Change: Eval Sheet</t>
  </si>
  <si>
    <t>Generated evaluation form</t>
  </si>
  <si>
    <t>One click generates the evaluation sheet for the buyer. Pre-filled with current prices from the system. Ready for supplier negotiation.</t>
  </si>
  <si>
    <t>SRM Dashboard</t>
  </si>
  <si>
    <t>RGY status → Timeline view</t>
  </si>
  <si>
    <t>Quick look at SRM - your tooling readiness at a glance. Red items need attention. Timeline shows critical path to SOP.</t>
  </si>
  <si>
    <t>Wrap-up</t>
  </si>
  <si>
    <t>Return to home → Summary slide</t>
  </si>
  <si>
    <t>In 40 minutes, you've seen AI forecasting, chatbot, dashboards, and document automation. We've addressed your key requirements. Happy to schedule a deeper dive into any area. Questions?</t>
  </si>
  <si>
    <t>FOCUSED FEATURES FOR 40-MINUTE POC</t>
  </si>
  <si>
    <t>Feature</t>
  </si>
  <si>
    <t>Demo Time</t>
  </si>
  <si>
    <t>AI Enabled</t>
  </si>
  <si>
    <t>RFQ Requirement</t>
  </si>
  <si>
    <t>Demo Script</t>
  </si>
  <si>
    <t>Steel Price Forecasting</t>
  </si>
  <si>
    <t>Yes - ML</t>
  </si>
  <si>
    <t>Forecasting, Steel Cost Savings</t>
  </si>
  <si>
    <t>Show historical chart → Click 'Forecast' → Display 6-month prediction → Highlight risk alert</t>
  </si>
  <si>
    <t>Forex Risk Analysis</t>
  </si>
  <si>
    <t>Forex Risk Forecasting</t>
  </si>
  <si>
    <t>Select project → Show EUR/INR exposure → Display impact on material cost</t>
  </si>
  <si>
    <t>Cost Savings Identification</t>
  </si>
  <si>
    <t>Yes - AI</t>
  </si>
  <si>
    <t>Potential for Cost Savings in Steel</t>
  </si>
  <si>
    <t>Show AI-identified opportunities → Display prioritized list → Highlight savings potential</t>
  </si>
  <si>
    <t>AI Chatbot - Price Query</t>
  </si>
  <si>
    <t>Yes - GPT</t>
  </si>
  <si>
    <t>AI BOT, Historical Price queries</t>
  </si>
  <si>
    <t>Type query → Show &lt;30 sec response → Display chart + text answer</t>
  </si>
  <si>
    <t>AI Chatbot - Live Q&amp;A</t>
  </si>
  <si>
    <t>Reply to User queries</t>
  </si>
  <si>
    <t>Invite SKODA to ask question → Live response → Show follow-up capability</t>
  </si>
  <si>
    <t>AI Chatbot - Graphical</t>
  </si>
  <si>
    <t>Text + Graphical response</t>
  </si>
  <si>
    <t>Ask trend question → Show auto-generated chart in response</t>
  </si>
  <si>
    <t>Partial</t>
  </si>
  <si>
    <t>Track Part Price movement</t>
  </si>
  <si>
    <t>Show price journey from nomination → Current status → Variance highlights</t>
  </si>
  <si>
    <t>No</t>
  </si>
  <si>
    <t>Display waterfall chart → Click for drill-down → Show Finance view</t>
  </si>
  <si>
    <t>AEKO Document Upload</t>
  </si>
  <si>
    <t>Yes - OCR</t>
  </si>
  <si>
    <t>Technical Change Evaluation</t>
  </si>
  <si>
    <t>Upload PDF → AI processes in real-time → Extraction progress shown</t>
  </si>
  <si>
    <t>AI Document Reading</t>
  </si>
  <si>
    <t>Yes - NLP</t>
  </si>
  <si>
    <t>Reading Technical Change documents</t>
  </si>
  <si>
    <t>Show extracted fields → Compare to original PDF → Highlight accuracy</t>
  </si>
  <si>
    <t>Evaluation Sheet Generation</t>
  </si>
  <si>
    <t>Yes - Template</t>
  </si>
  <si>
    <t>Technical Evaluation Sheet</t>
  </si>
  <si>
    <t>Click 'Generate' → Show pre-filled form → Ready for buyer action</t>
  </si>
  <si>
    <t>SRM Readiness Dashboard</t>
  </si>
  <si>
    <t>Tooling Readiness Dashboard</t>
  </si>
  <si>
    <t>Show RGY status → Highlight at-risk items → Display timeline view</t>
  </si>
  <si>
    <t>Milestone Timeline View</t>
  </si>
  <si>
    <t>1 min</t>
  </si>
  <si>
    <t>SRM Status Tracking</t>
  </si>
  <si>
    <t>Quick Gantt view → Point out critical path items</t>
  </si>
  <si>
    <t>TOTAL DEMO TIME:</t>
  </si>
  <si>
    <t>35 mins</t>
  </si>
  <si>
    <t>+ 5 mins Opening/Closing = 40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</si>
</sst>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C55A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53813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2E75B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7365D"/>
      <name val="Calibri"/>
    </font>
    <font>
      <b/>
      <sz val="11"/>
      <color rgb="FFFFFFFF"/>
      <name val="Calibri"/>
    </font>
    <font>
      <sz val="10"/>
      <color rgb="FF1F1F1F"/>
      <name val="Calibri"/>
    </font>
    <font>
      <b/>
      <sz val="11"/>
      <color rgb="FF17365D"/>
      <name val="Calibri"/>
    </font>
    <font>
      <b/>
      <sz val="17"/>
      <color rgb="FFFFFFFF"/>
      <name val="Calibri"/>
    </font>
    <font>
      <b/>
      <sz val="10"/>
      <color rgb="FF17365D"/>
      <name val="Calibri"/>
    </font>
    <font>
      <b/>
      <sz val="12"/>
      <color rgb="FFFFFFFF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00A6A6"/>
      </patternFill>
    </fill>
    <fill>
      <patternFill patternType="solid">
        <fgColor rgb="FF8064A2"/>
      </patternFill>
    </fill>
    <fill>
      <patternFill patternType="solid">
        <fgColor rgb="FFED7D31"/>
      </patternFill>
    </fill>
    <fill>
      <patternFill patternType="solid">
        <fgColor rgb="FFF4F7FA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7" fillId="0" borderId="0" xfId="0" applyFont="1"/>
    <xf numFmtId="0" fontId="6" fillId="9" borderId="0" xfId="0" applyFont="1" applyFill="1"/>
    <xf numFmtId="0" fontId="3" fillId="2" borderId="0" xfId="0" applyFont="1" applyFill="1"/>
    <xf numFmtId="0" fontId="6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6" fillId="9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8" fillId="0" borderId="0" xfId="0" applyFont="1"/>
    <xf numFmtId="0" fontId="9" fillId="1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0" fillId="0" borderId="0" xfId="0" applyFont="1"/>
    <xf numFmtId="0" fontId="9" fillId="3" borderId="0" xfId="0" applyFont="1" applyFill="1" applyAlignment="1">
      <alignment wrapText="1"/>
    </xf>
    <xf numFmtId="0" fontId="9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11" fillId="5" borderId="0" xfId="0" applyFont="1" applyFill="1" applyAlignment="1">
      <alignment wrapText="1"/>
    </xf>
    <xf numFmtId="0" fontId="6" fillId="0" borderId="0" xfId="0" applyFont="1"/>
    <xf numFmtId="0" fontId="13" fillId="5" borderId="0" xfId="0" applyFont="1" applyFill="1"/>
    <xf numFmtId="0" fontId="4" fillId="12" borderId="0" xfId="0" applyFont="1" applyFill="1" applyAlignment="1">
      <alignment vertical="top" wrapText="1"/>
    </xf>
    <xf numFmtId="0" fontId="16" fillId="15" borderId="1" xfId="0" applyFont="1" applyFill="1" applyBorder="1" applyAlignment="1">
      <alignment vertical="center" wrapText="1"/>
    </xf>
    <xf numFmtId="0" fontId="17" fillId="16" borderId="0" xfId="0" applyFont="1" applyFill="1" applyAlignment="1">
      <alignment vertical="top" wrapText="1"/>
    </xf>
    <xf numFmtId="0" fontId="17" fillId="17" borderId="0" xfId="0" applyFont="1" applyFill="1" applyAlignment="1">
      <alignment vertical="top" wrapText="1"/>
    </xf>
    <xf numFmtId="0" fontId="18" fillId="0" borderId="0" xfId="0" applyFont="1"/>
    <xf numFmtId="0" fontId="0" fillId="18" borderId="0" xfId="0" applyFill="1" applyAlignment="1">
      <alignment wrapText="1"/>
    </xf>
    <xf numFmtId="0" fontId="16" fillId="15" borderId="0" xfId="0" applyFont="1" applyFill="1" applyAlignment="1">
      <alignment vertical="center" wrapText="1"/>
    </xf>
    <xf numFmtId="0" fontId="0" fillId="23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1" fillId="20" borderId="2" xfId="0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0" fontId="21" fillId="22" borderId="2" xfId="0" applyFont="1" applyFill="1" applyBorder="1" applyAlignment="1">
      <alignment horizontal="center" vertical="center" wrapText="1"/>
    </xf>
    <xf numFmtId="0" fontId="21" fillId="25" borderId="2" xfId="0" applyFont="1" applyFill="1" applyBorder="1" applyAlignment="1">
      <alignment horizontal="center" vertical="center" wrapText="1"/>
    </xf>
    <xf numFmtId="164" fontId="0" fillId="16" borderId="0" xfId="0" applyNumberFormat="1" applyFill="1" applyAlignment="1">
      <alignment vertical="top" wrapText="1"/>
    </xf>
    <xf numFmtId="164" fontId="0" fillId="23" borderId="0" xfId="0" applyNumberFormat="1" applyFill="1" applyAlignment="1">
      <alignment vertical="top" wrapText="1"/>
    </xf>
    <xf numFmtId="9" fontId="0" fillId="16" borderId="0" xfId="0" applyNumberFormat="1" applyFill="1" applyAlignment="1">
      <alignment vertical="top" wrapText="1"/>
    </xf>
    <xf numFmtId="9" fontId="0" fillId="23" borderId="0" xfId="0" applyNumberFormat="1" applyFill="1" applyAlignment="1">
      <alignment vertical="top" wrapText="1"/>
    </xf>
    <xf numFmtId="0" fontId="15" fillId="14" borderId="0" xfId="0" applyFont="1" applyFill="1" applyAlignment="1">
      <alignment vertical="center" wrapText="1"/>
    </xf>
    <xf numFmtId="0" fontId="14" fillId="13" borderId="0" xfId="0" applyFont="1" applyFill="1" applyAlignment="1">
      <alignment vertical="center"/>
    </xf>
    <xf numFmtId="0" fontId="20" fillId="18" borderId="0" xfId="0" applyFont="1" applyFill="1" applyAlignment="1">
      <alignment vertical="center"/>
    </xf>
    <xf numFmtId="0" fontId="19" fillId="13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0" fillId="0" borderId="0" xfId="0" applyAlignment="1"/>
    <xf numFmtId="0" fontId="18" fillId="26" borderId="0" xfId="0" applyFont="1" applyFill="1" applyAlignment="1">
      <alignment vertical="center" wrapText="1"/>
    </xf>
    <xf numFmtId="0" fontId="18" fillId="24" borderId="0" xfId="0" applyFont="1" applyFill="1" applyAlignment="1">
      <alignment vertical="center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Material Cost and Savings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'Sample - Executive'!B8</c:f>
              <c:strCache>
                <c:ptCount val="1"/>
                <c:pt idx="0">
                  <c:v>Material Cost (₹ Cr)</c:v>
                </c:pt>
              </c:strCache>
            </c:strRef>
          </c:tx>
          <c:spPr>
            <a:ln w="2500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'Sample - Executive'!$A$9:$A$14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Executive'!$B$9:$B$14</c:f>
              <c:numCache>
                <c:formatCode>General</c:formatCode>
                <c:ptCount val="6"/>
                <c:pt idx="0">
                  <c:v>196</c:v>
                </c:pt>
                <c:pt idx="1">
                  <c:v>201</c:v>
                </c:pt>
                <c:pt idx="2">
                  <c:v>205</c:v>
                </c:pt>
                <c:pt idx="3">
                  <c:v>210</c:v>
                </c:pt>
                <c:pt idx="4">
                  <c:v>216</c:v>
                </c:pt>
                <c:pt idx="5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7-4D58-B8D3-02158E29BC06}"/>
            </c:ext>
          </c:extLst>
        </c:ser>
        <c:ser>
          <c:idx val="1"/>
          <c:order val="1"/>
          <c:tx>
            <c:strRef>
              <c:f>'Sample - Executive'!C8</c:f>
              <c:strCache>
                <c:ptCount val="1"/>
                <c:pt idx="0">
                  <c:v>Savings (₹ Cr)</c:v>
                </c:pt>
              </c:strCache>
            </c:strRef>
          </c:tx>
          <c:spPr>
            <a:ln w="25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'Sample - Executive'!$A$9:$A$14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Executive'!$C$9:$C$14</c:f>
              <c:numCache>
                <c:formatCode>General</c:formatCode>
                <c:ptCount val="6"/>
                <c:pt idx="0">
                  <c:v>5.2</c:v>
                </c:pt>
                <c:pt idx="1">
                  <c:v>5.8</c:v>
                </c:pt>
                <c:pt idx="2">
                  <c:v>6.4</c:v>
                </c:pt>
                <c:pt idx="3">
                  <c:v>7.1</c:v>
                </c:pt>
                <c:pt idx="4">
                  <c:v>8.1999999999999993</c:v>
                </c:pt>
                <c:pt idx="5">
                  <c:v>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D7-4D58-B8D3-02158E29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Vertical Cost: Baseline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'Sample - Cost Movement'!B8</c:f>
              <c:strCache>
                <c:ptCount val="1"/>
                <c:pt idx="0">
                  <c:v>Baseline (₹ L/car)</c:v>
                </c:pt>
              </c:strCache>
            </c:strRef>
          </c:tx>
          <c:spPr>
            <a:solidFill>
              <a:srgbClr val="2F75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Cost Movement'!$A$9:$A$14</c:f>
              <c:strCache>
                <c:ptCount val="6"/>
                <c:pt idx="0">
                  <c:v>Powertrain</c:v>
                </c:pt>
                <c:pt idx="1">
                  <c:v>Exterior</c:v>
                </c:pt>
                <c:pt idx="2">
                  <c:v>Body &amp; Comfort</c:v>
                </c:pt>
                <c:pt idx="3">
                  <c:v>Electrical/Electronics</c:v>
                </c:pt>
                <c:pt idx="4">
                  <c:v>Interior</c:v>
                </c:pt>
                <c:pt idx="5">
                  <c:v>Chassis</c:v>
                </c:pt>
              </c:strCache>
            </c:strRef>
          </c:cat>
          <c:val>
            <c:numRef>
              <c:f>'Sample - Cost Movement'!$B$9:$B$14</c:f>
              <c:numCache>
                <c:formatCode>General</c:formatCode>
                <c:ptCount val="6"/>
                <c:pt idx="0">
                  <c:v>4.5999999999999996</c:v>
                </c:pt>
                <c:pt idx="1">
                  <c:v>2.1</c:v>
                </c:pt>
                <c:pt idx="2">
                  <c:v>1.85</c:v>
                </c:pt>
                <c:pt idx="3">
                  <c:v>2</c:v>
                </c:pt>
                <c:pt idx="4">
                  <c:v>1.7</c:v>
                </c:pt>
                <c:pt idx="5">
                  <c:v>1.95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BB-43E4-AF38-7E7F26E52F32}"/>
            </c:ext>
          </c:extLst>
        </c:ser>
        <c:ser>
          <c:idx val="1"/>
          <c:order val="1"/>
          <c:tx>
            <c:strRef>
              <c:f>'Sample - Cost Movement'!C8</c:f>
              <c:strCache>
                <c:ptCount val="1"/>
                <c:pt idx="0">
                  <c:v>Current (₹ L/car)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Cost Movement'!$A$9:$A$14</c:f>
              <c:strCache>
                <c:ptCount val="6"/>
                <c:pt idx="0">
                  <c:v>Powertrain</c:v>
                </c:pt>
                <c:pt idx="1">
                  <c:v>Exterior</c:v>
                </c:pt>
                <c:pt idx="2">
                  <c:v>Body &amp; Comfort</c:v>
                </c:pt>
                <c:pt idx="3">
                  <c:v>Electrical/Electronics</c:v>
                </c:pt>
                <c:pt idx="4">
                  <c:v>Interior</c:v>
                </c:pt>
                <c:pt idx="5">
                  <c:v>Chassis</c:v>
                </c:pt>
              </c:strCache>
            </c:strRef>
          </c:cat>
          <c:val>
            <c:numRef>
              <c:f>'Sample - Cost Movement'!$C$9:$C$14</c:f>
              <c:numCache>
                <c:formatCode>General</c:formatCode>
                <c:ptCount val="6"/>
                <c:pt idx="0">
                  <c:v>4.82</c:v>
                </c:pt>
                <c:pt idx="1">
                  <c:v>2.1800000000000002</c:v>
                </c:pt>
                <c:pt idx="2">
                  <c:v>1.95</c:v>
                </c:pt>
                <c:pt idx="3">
                  <c:v>2.08</c:v>
                </c:pt>
                <c:pt idx="4">
                  <c:v>1.69</c:v>
                </c:pt>
                <c:pt idx="5">
                  <c:v>1.94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BB-43E4-AF38-7E7F26E52F3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Lakh per car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Savings Target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'Sample - Savings'!B8</c:f>
              <c:strCache>
                <c:ptCount val="1"/>
                <c:pt idx="0">
                  <c:v>Target (₹ Cr)</c:v>
                </c:pt>
              </c:strCache>
            </c:strRef>
          </c:tx>
          <c:spPr>
            <a:solidFill>
              <a:srgbClr val="2F75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Savings'!$A$9:$A$14</c:f>
              <c:strCache>
                <c:ptCount val="6"/>
                <c:pt idx="0">
                  <c:v>Powertrain</c:v>
                </c:pt>
                <c:pt idx="1">
                  <c:v>Exterior</c:v>
                </c:pt>
                <c:pt idx="2">
                  <c:v>Body &amp; Comfort</c:v>
                </c:pt>
                <c:pt idx="3">
                  <c:v>Electrical/Electronics</c:v>
                </c:pt>
                <c:pt idx="4">
                  <c:v>Interior</c:v>
                </c:pt>
                <c:pt idx="5">
                  <c:v>Chassis</c:v>
                </c:pt>
              </c:strCache>
            </c:strRef>
          </c:cat>
          <c:val>
            <c:numRef>
              <c:f>'Sample - Savings'!$B$9:$B$14</c:f>
              <c:numCache>
                <c:formatCode>General</c:formatCode>
                <c:ptCount val="6"/>
                <c:pt idx="0">
                  <c:v>11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5.8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3B-4705-94FB-CCDFEEAE2383}"/>
            </c:ext>
          </c:extLst>
        </c:ser>
        <c:ser>
          <c:idx val="1"/>
          <c:order val="1"/>
          <c:tx>
            <c:strRef>
              <c:f>'Sample - Savings'!C8</c:f>
              <c:strCache>
                <c:ptCount val="1"/>
                <c:pt idx="0">
                  <c:v>Achieved (₹ Cr)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Savings'!$A$9:$A$14</c:f>
              <c:strCache>
                <c:ptCount val="6"/>
                <c:pt idx="0">
                  <c:v>Powertrain</c:v>
                </c:pt>
                <c:pt idx="1">
                  <c:v>Exterior</c:v>
                </c:pt>
                <c:pt idx="2">
                  <c:v>Body &amp; Comfort</c:v>
                </c:pt>
                <c:pt idx="3">
                  <c:v>Electrical/Electronics</c:v>
                </c:pt>
                <c:pt idx="4">
                  <c:v>Interior</c:v>
                </c:pt>
                <c:pt idx="5">
                  <c:v>Chassis</c:v>
                </c:pt>
              </c:strCache>
            </c:strRef>
          </c:cat>
          <c:val>
            <c:numRef>
              <c:f>'Sample - Savings'!$C$9:$C$14</c:f>
              <c:numCache>
                <c:formatCode>General</c:formatCode>
                <c:ptCount val="6"/>
                <c:pt idx="0">
                  <c:v>9.4</c:v>
                </c:pt>
                <c:pt idx="1">
                  <c:v>6.8</c:v>
                </c:pt>
                <c:pt idx="2">
                  <c:v>7.1</c:v>
                </c:pt>
                <c:pt idx="3">
                  <c:v>7.4</c:v>
                </c:pt>
                <c:pt idx="4">
                  <c:v>5.3</c:v>
                </c:pt>
                <c:pt idx="5">
                  <c:v>6.6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3B-4705-94FB-CCDFEEAE238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Savings Delivery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'Sample - Savings'!B17</c:f>
              <c:strCache>
                <c:ptCount val="1"/>
                <c:pt idx="0">
                  <c:v>Achieved (₹ Cr)</c:v>
                </c:pt>
              </c:strCache>
            </c:strRef>
          </c:tx>
          <c:spPr>
            <a:ln w="25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'Sample - Savings'!$A$18:$A$23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Savings'!$B$18:$B$23</c:f>
              <c:numCache>
                <c:formatCode>General</c:formatCode>
                <c:ptCount val="6"/>
                <c:pt idx="0">
                  <c:v>5.2</c:v>
                </c:pt>
                <c:pt idx="1">
                  <c:v>5.8</c:v>
                </c:pt>
                <c:pt idx="2">
                  <c:v>6.4</c:v>
                </c:pt>
                <c:pt idx="3">
                  <c:v>7.1</c:v>
                </c:pt>
                <c:pt idx="4">
                  <c:v>8.1999999999999993</c:v>
                </c:pt>
                <c:pt idx="5">
                  <c:v>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4D-4226-84AB-0E3175AF4C18}"/>
            </c:ext>
          </c:extLst>
        </c:ser>
        <c:ser>
          <c:idx val="1"/>
          <c:order val="1"/>
          <c:tx>
            <c:strRef>
              <c:f>'Sample - Savings'!C17</c:f>
              <c:strCache>
                <c:ptCount val="1"/>
                <c:pt idx="0">
                  <c:v>Planned (₹ Cr)</c:v>
                </c:pt>
              </c:strCache>
            </c:strRef>
          </c:tx>
          <c:spPr>
            <a:ln w="25000">
              <a:solidFill>
                <a:srgbClr val="666666"/>
              </a:solidFill>
              <a:prstDash val="solid"/>
            </a:ln>
          </c:spPr>
          <c:marker>
            <c:symbol val="none"/>
          </c:marker>
          <c:cat>
            <c:strRef>
              <c:f>'Sample - Savings'!$A$18:$A$23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Savings'!$C$18:$C$23</c:f>
              <c:numCache>
                <c:formatCode>General</c:formatCode>
                <c:ptCount val="6"/>
                <c:pt idx="0">
                  <c:v>6.3</c:v>
                </c:pt>
                <c:pt idx="1">
                  <c:v>6.8</c:v>
                </c:pt>
                <c:pt idx="2">
                  <c:v>7.2</c:v>
                </c:pt>
                <c:pt idx="3">
                  <c:v>7.7</c:v>
                </c:pt>
                <c:pt idx="4">
                  <c:v>8.6</c:v>
                </c:pt>
                <c:pt idx="5">
                  <c:v>10.199999999999999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4D-4226-84AB-0E3175AF4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Production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'Sample - Production'!B8</c:f>
              <c:strCache>
                <c:ptCount val="1"/>
                <c:pt idx="0">
                  <c:v>Prior Year Units</c:v>
                </c:pt>
              </c:strCache>
            </c:strRef>
          </c:tx>
          <c:spPr>
            <a:ln w="25000">
              <a:solidFill>
                <a:srgbClr val="666666"/>
              </a:solidFill>
              <a:prstDash val="solid"/>
            </a:ln>
          </c:spPr>
          <c:marker>
            <c:symbol val="none"/>
          </c:marker>
          <c:cat>
            <c:strRef>
              <c:f>'Sample - Production'!$A$9:$A$14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Production'!$B$9:$B$14</c:f>
              <c:numCache>
                <c:formatCode>General</c:formatCode>
                <c:ptCount val="6"/>
                <c:pt idx="0">
                  <c:v>8100</c:v>
                </c:pt>
                <c:pt idx="1">
                  <c:v>8500</c:v>
                </c:pt>
                <c:pt idx="2">
                  <c:v>8700</c:v>
                </c:pt>
                <c:pt idx="3">
                  <c:v>8900</c:v>
                </c:pt>
                <c:pt idx="4">
                  <c:v>9000</c:v>
                </c:pt>
                <c:pt idx="5">
                  <c:v>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7D-420B-9A86-1FB4116F07CD}"/>
            </c:ext>
          </c:extLst>
        </c:ser>
        <c:ser>
          <c:idx val="1"/>
          <c:order val="1"/>
          <c:tx>
            <c:strRef>
              <c:f>'Sample - Production'!C8</c:f>
              <c:strCache>
                <c:ptCount val="1"/>
                <c:pt idx="0">
                  <c:v>Current Year Units</c:v>
                </c:pt>
              </c:strCache>
            </c:strRef>
          </c:tx>
          <c:spPr>
            <a:ln w="2500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'Sample - Production'!$A$9:$A$14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Production'!$C$9:$C$14</c:f>
              <c:numCache>
                <c:formatCode>General</c:formatCode>
                <c:ptCount val="6"/>
                <c:pt idx="0">
                  <c:v>8600</c:v>
                </c:pt>
                <c:pt idx="1">
                  <c:v>9000</c:v>
                </c:pt>
                <c:pt idx="2">
                  <c:v>9300</c:v>
                </c:pt>
                <c:pt idx="3">
                  <c:v>9500</c:v>
                </c:pt>
                <c:pt idx="4">
                  <c:v>9900</c:v>
                </c:pt>
                <c:pt idx="5">
                  <c:v>10180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7D-420B-9A86-1FB4116F0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Material Cost per Vehicle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'Sample - Production'!E8</c:f>
              <c:strCache>
                <c:ptCount val="1"/>
                <c:pt idx="0">
                  <c:v>Material Cost/Vehicle (₹ L)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'Sample - Production'!$A$9:$A$14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'Sample - Production'!$E$9:$E$14</c:f>
              <c:numCache>
                <c:formatCode>General</c:formatCode>
                <c:ptCount val="6"/>
                <c:pt idx="0">
                  <c:v>14.15</c:v>
                </c:pt>
                <c:pt idx="1">
                  <c:v>14.22</c:v>
                </c:pt>
                <c:pt idx="2">
                  <c:v>14.31</c:v>
                </c:pt>
                <c:pt idx="3">
                  <c:v>14.38</c:v>
                </c:pt>
                <c:pt idx="4">
                  <c:v>14.51</c:v>
                </c:pt>
                <c:pt idx="5">
                  <c:v>14.66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2C-40D1-8F8B-91C8B0B69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Lakh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Part Opportunity vs Savings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'Sample - Buyer'!D8</c:f>
              <c:strCache>
                <c:ptCount val="1"/>
                <c:pt idx="0">
                  <c:v>Opportunity (₹ Cr)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Buyer'!$B$9:$B$14</c:f>
              <c:strCache>
                <c:ptCount val="6"/>
                <c:pt idx="0">
                  <c:v>Engine Control Unit</c:v>
                </c:pt>
                <c:pt idx="1">
                  <c:v>Turbocharger</c:v>
                </c:pt>
                <c:pt idx="2">
                  <c:v>Seat mechanism</c:v>
                </c:pt>
                <c:pt idx="3">
                  <c:v>Front bumper</c:v>
                </c:pt>
                <c:pt idx="4">
                  <c:v>Cooling module</c:v>
                </c:pt>
                <c:pt idx="5">
                  <c:v>Window regulator</c:v>
                </c:pt>
              </c:strCache>
            </c:strRef>
          </c:cat>
          <c:val>
            <c:numRef>
              <c:f>'Sample - Buyer'!$D$9:$D$14</c:f>
              <c:numCache>
                <c:formatCode>General</c:formatCode>
                <c:ptCount val="6"/>
                <c:pt idx="0">
                  <c:v>1.1000000000000001</c:v>
                </c:pt>
                <c:pt idx="1">
                  <c:v>0.8</c:v>
                </c:pt>
                <c:pt idx="2">
                  <c:v>0.5</c:v>
                </c:pt>
                <c:pt idx="3">
                  <c:v>0.4</c:v>
                </c:pt>
                <c:pt idx="4">
                  <c:v>0.7</c:v>
                </c:pt>
                <c:pt idx="5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6C-43F2-8D82-ADA5EFAE0C0C}"/>
            </c:ext>
          </c:extLst>
        </c:ser>
        <c:ser>
          <c:idx val="1"/>
          <c:order val="1"/>
          <c:tx>
            <c:strRef>
              <c:f>'Sample - Buyer'!E8</c:f>
              <c:strCache>
                <c:ptCount val="1"/>
                <c:pt idx="0">
                  <c:v>Savings (₹ Cr)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Buyer'!$B$9:$B$14</c:f>
              <c:strCache>
                <c:ptCount val="6"/>
                <c:pt idx="0">
                  <c:v>Engine Control Unit</c:v>
                </c:pt>
                <c:pt idx="1">
                  <c:v>Turbocharger</c:v>
                </c:pt>
                <c:pt idx="2">
                  <c:v>Seat mechanism</c:v>
                </c:pt>
                <c:pt idx="3">
                  <c:v>Front bumper</c:v>
                </c:pt>
                <c:pt idx="4">
                  <c:v>Cooling module</c:v>
                </c:pt>
                <c:pt idx="5">
                  <c:v>Window regulator</c:v>
                </c:pt>
              </c:strCache>
            </c:strRef>
          </c:cat>
          <c:val>
            <c:numRef>
              <c:f>'Sample - Buyer'!$E$9:$E$14</c:f>
              <c:numCache>
                <c:formatCode>General</c:formatCode>
                <c:ptCount val="6"/>
                <c:pt idx="0">
                  <c:v>0.6</c:v>
                </c:pt>
                <c:pt idx="1">
                  <c:v>0.5</c:v>
                </c:pt>
                <c:pt idx="2">
                  <c:v>0.4</c:v>
                </c:pt>
                <c:pt idx="3">
                  <c:v>0.2</c:v>
                </c:pt>
                <c:pt idx="4">
                  <c:v>0.5</c:v>
                </c:pt>
                <c:pt idx="5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6C-43F2-8D82-ADA5EFAE0C0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Supplier Spend and Savings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'Sample - Suppliers'!B8</c:f>
              <c:strCache>
                <c:ptCount val="1"/>
                <c:pt idx="0">
                  <c:v>Spend (₹ Cr)</c:v>
                </c:pt>
              </c:strCache>
            </c:strRef>
          </c:tx>
          <c:spPr>
            <a:solidFill>
              <a:srgbClr val="2F75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Suppliers'!$A$9:$A$13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'Sample - Suppliers'!$B$9:$B$13</c:f>
              <c:numCache>
                <c:formatCode>General</c:formatCode>
                <c:ptCount val="5"/>
                <c:pt idx="0">
                  <c:v>96</c:v>
                </c:pt>
                <c:pt idx="1">
                  <c:v>82</c:v>
                </c:pt>
                <c:pt idx="2">
                  <c:v>105</c:v>
                </c:pt>
                <c:pt idx="3">
                  <c:v>71</c:v>
                </c:pt>
                <c:pt idx="4">
                  <c:v>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46-417E-B6C2-B90DB7122539}"/>
            </c:ext>
          </c:extLst>
        </c:ser>
        <c:ser>
          <c:idx val="1"/>
          <c:order val="1"/>
          <c:tx>
            <c:strRef>
              <c:f>'Sample - Suppliers'!C8</c:f>
              <c:strCache>
                <c:ptCount val="1"/>
                <c:pt idx="0">
                  <c:v>Savings (₹ Cr)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Suppliers'!$A$9:$A$13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'Sample - Suppliers'!$C$9:$C$13</c:f>
              <c:numCache>
                <c:formatCode>General</c:formatCode>
                <c:ptCount val="5"/>
                <c:pt idx="0">
                  <c:v>4.8</c:v>
                </c:pt>
                <c:pt idx="1">
                  <c:v>4.0999999999999996</c:v>
                </c:pt>
                <c:pt idx="2">
                  <c:v>3.2</c:v>
                </c:pt>
                <c:pt idx="3">
                  <c:v>3.7</c:v>
                </c:pt>
                <c:pt idx="4">
                  <c:v>2.9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46-417E-B6C2-B90DB712253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Material and FX Forecast Index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'Sample - Forecast'!B8</c:f>
              <c:strCache>
                <c:ptCount val="1"/>
                <c:pt idx="0">
                  <c:v>Steel Index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'Sample - Forecast'!$A$9:$A$14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</c:strCache>
            </c:strRef>
          </c:cat>
          <c:val>
            <c:numRef>
              <c:f>'Sample - Forecast'!$B$9:$B$14</c:f>
              <c:numCache>
                <c:formatCode>General</c:formatCode>
                <c:ptCount val="6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107</c:v>
                </c:pt>
                <c:pt idx="5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FE-4DBF-A95F-7AC6DCA80254}"/>
            </c:ext>
          </c:extLst>
        </c:ser>
        <c:ser>
          <c:idx val="1"/>
          <c:order val="1"/>
          <c:tx>
            <c:strRef>
              <c:f>'Sample - Forecast'!C8</c:f>
              <c:strCache>
                <c:ptCount val="1"/>
                <c:pt idx="0">
                  <c:v>EUR/INR Scenario</c:v>
                </c:pt>
              </c:strCache>
            </c:strRef>
          </c:tx>
          <c:spPr>
            <a:ln w="250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strRef>
              <c:f>'Sample - Forecast'!$A$9:$A$14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</c:strCache>
            </c:strRef>
          </c:cat>
          <c:val>
            <c:numRef>
              <c:f>'Sample - Forecast'!$C$9:$C$14</c:f>
              <c:numCache>
                <c:formatCode>General</c:formatCode>
                <c:ptCount val="6"/>
                <c:pt idx="0">
                  <c:v>98</c:v>
                </c:pt>
                <c:pt idx="1">
                  <c:v>98.8</c:v>
                </c:pt>
                <c:pt idx="2">
                  <c:v>99.5</c:v>
                </c:pt>
                <c:pt idx="3">
                  <c:v>100.2</c:v>
                </c:pt>
                <c:pt idx="4">
                  <c:v>101</c:v>
                </c:pt>
                <c:pt idx="5">
                  <c:v>101.8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FE-4DBF-A95F-7AC6DCA80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Index / FX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Forecast Impact by Driver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'Sample - Forecast'!B17</c:f>
              <c:strCache>
                <c:ptCount val="1"/>
                <c:pt idx="0">
                  <c:v>Impact (₹ L/car)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'Sample - Forecast'!$A$18:$A$23</c:f>
              <c:strCache>
                <c:ptCount val="6"/>
                <c:pt idx="0">
                  <c:v>Steel / alloys</c:v>
                </c:pt>
                <c:pt idx="1">
                  <c:v>EUR/INR</c:v>
                </c:pt>
                <c:pt idx="2">
                  <c:v>Semiconductors</c:v>
                </c:pt>
                <c:pt idx="3">
                  <c:v>Polymers</c:v>
                </c:pt>
                <c:pt idx="4">
                  <c:v>Savings mitigation</c:v>
                </c:pt>
                <c:pt idx="5">
                  <c:v>Other</c:v>
                </c:pt>
              </c:strCache>
            </c:strRef>
          </c:cat>
          <c:val>
            <c:numRef>
              <c:f>'Sample - Forecast'!$B$18:$B$23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0.11</c:v>
                </c:pt>
                <c:pt idx="2">
                  <c:v>0.08</c:v>
                </c:pt>
                <c:pt idx="3">
                  <c:v>0.04</c:v>
                </c:pt>
                <c:pt idx="4">
                  <c:v>-0.05</c:v>
                </c:pt>
                <c:pt idx="5">
                  <c:v>0.06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5A-4116-A6B4-0E92F18F013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Lakh per car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3" customWidth="1"/>
    <col min="2" max="2" width="12" customWidth="1"/>
    <col min="3" max="3" width="39" customWidth="1"/>
    <col min="4" max="4" width="38" customWidth="1"/>
    <col min="5" max="5" width="34" customWidth="1"/>
    <col min="6" max="6" width="26" customWidth="1"/>
    <col min="7" max="7" width="34" customWidth="1"/>
  </cols>
  <sheetData>
    <row r="1" spans="1:7" ht="27.95" customHeight="1">
      <c r="A1" s="52" t="s">
        <v>0</v>
      </c>
      <c r="B1" s="59"/>
      <c r="C1" s="59"/>
      <c r="D1" s="59"/>
      <c r="E1" s="59"/>
      <c r="F1" s="59"/>
      <c r="G1" s="59"/>
    </row>
    <row r="2" spans="1:7" ht="32.1" customHeight="1">
      <c r="A2" s="51" t="s">
        <v>1</v>
      </c>
      <c r="B2" s="59"/>
      <c r="C2" s="59"/>
      <c r="D2" s="59"/>
      <c r="E2" s="59"/>
      <c r="F2" s="59"/>
      <c r="G2" s="59"/>
    </row>
    <row r="4" spans="1:7" ht="30" customHeight="1">
      <c r="A4" s="33" t="s">
        <v>2</v>
      </c>
      <c r="B4" s="33" t="s">
        <v>3</v>
      </c>
      <c r="C4" s="33" t="s">
        <v>4</v>
      </c>
      <c r="D4" s="33" t="s">
        <v>5</v>
      </c>
      <c r="E4" s="33" t="s">
        <v>6</v>
      </c>
      <c r="F4" s="33" t="s">
        <v>7</v>
      </c>
      <c r="G4" s="33" t="s">
        <v>8</v>
      </c>
    </row>
    <row r="5" spans="1:7" ht="56.1" customHeight="1">
      <c r="A5" s="34" t="s">
        <v>9</v>
      </c>
      <c r="B5" s="34" t="s">
        <v>10</v>
      </c>
      <c r="C5" s="34" t="s">
        <v>11</v>
      </c>
      <c r="D5" s="34" t="s">
        <v>12</v>
      </c>
      <c r="E5" s="34" t="s">
        <v>13</v>
      </c>
      <c r="F5" s="34" t="s">
        <v>14</v>
      </c>
      <c r="G5" s="34" t="s">
        <v>15</v>
      </c>
    </row>
    <row r="6" spans="1:7" ht="56.1" customHeight="1">
      <c r="A6" s="35" t="s">
        <v>16</v>
      </c>
      <c r="B6" s="35" t="s">
        <v>17</v>
      </c>
      <c r="C6" s="35" t="s">
        <v>18</v>
      </c>
      <c r="D6" s="35" t="s">
        <v>19</v>
      </c>
      <c r="E6" s="35" t="s">
        <v>20</v>
      </c>
      <c r="F6" s="35" t="s">
        <v>21</v>
      </c>
      <c r="G6" s="35" t="s">
        <v>22</v>
      </c>
    </row>
    <row r="7" spans="1:7" ht="56.1" customHeight="1">
      <c r="A7" s="34" t="s">
        <v>23</v>
      </c>
      <c r="B7" s="34" t="s">
        <v>24</v>
      </c>
      <c r="C7" s="34" t="s">
        <v>25</v>
      </c>
      <c r="D7" s="34" t="s">
        <v>26</v>
      </c>
      <c r="E7" s="34" t="s">
        <v>27</v>
      </c>
      <c r="F7" s="34" t="s">
        <v>28</v>
      </c>
      <c r="G7" s="34" t="s">
        <v>29</v>
      </c>
    </row>
    <row r="8" spans="1:7" ht="56.1" customHeight="1">
      <c r="A8" s="35" t="s">
        <v>30</v>
      </c>
      <c r="B8" s="35" t="s">
        <v>31</v>
      </c>
      <c r="C8" s="35" t="s">
        <v>32</v>
      </c>
      <c r="D8" s="35" t="s">
        <v>33</v>
      </c>
      <c r="E8" s="35" t="s">
        <v>34</v>
      </c>
      <c r="F8" s="35" t="s">
        <v>35</v>
      </c>
      <c r="G8" s="35" t="s">
        <v>36</v>
      </c>
    </row>
    <row r="9" spans="1:7" ht="56.1" customHeight="1">
      <c r="A9" s="34" t="s">
        <v>37</v>
      </c>
      <c r="B9" s="34" t="s">
        <v>31</v>
      </c>
      <c r="C9" s="34" t="s">
        <v>38</v>
      </c>
      <c r="D9" s="34" t="s">
        <v>39</v>
      </c>
      <c r="E9" s="34" t="s">
        <v>40</v>
      </c>
      <c r="F9" s="34" t="s">
        <v>41</v>
      </c>
      <c r="G9" s="34" t="s">
        <v>42</v>
      </c>
    </row>
    <row r="10" spans="1:7" ht="56.1" customHeight="1">
      <c r="A10" s="35" t="s">
        <v>43</v>
      </c>
      <c r="B10" s="35" t="s">
        <v>44</v>
      </c>
      <c r="C10" s="35" t="s">
        <v>45</v>
      </c>
      <c r="D10" s="35" t="s">
        <v>46</v>
      </c>
      <c r="E10" s="35" t="s">
        <v>47</v>
      </c>
      <c r="F10" s="35" t="s">
        <v>48</v>
      </c>
      <c r="G10" s="35" t="s">
        <v>49</v>
      </c>
    </row>
    <row r="11" spans="1:7" ht="62.1" customHeight="1">
      <c r="A11" s="34" t="s">
        <v>50</v>
      </c>
      <c r="B11" s="34" t="s">
        <v>51</v>
      </c>
      <c r="C11" s="34" t="s">
        <v>52</v>
      </c>
      <c r="D11" s="34" t="s">
        <v>53</v>
      </c>
      <c r="E11" s="34" t="s">
        <v>54</v>
      </c>
      <c r="F11" s="34" t="s">
        <v>55</v>
      </c>
      <c r="G11" s="34" t="s">
        <v>56</v>
      </c>
    </row>
    <row r="12" spans="1:7" ht="56.1" customHeight="1">
      <c r="A12" s="34" t="s">
        <v>57</v>
      </c>
      <c r="B12" s="34" t="s">
        <v>31</v>
      </c>
      <c r="C12" s="34" t="s">
        <v>58</v>
      </c>
      <c r="D12" s="34" t="s">
        <v>59</v>
      </c>
      <c r="E12" s="34" t="s">
        <v>60</v>
      </c>
      <c r="F12" s="34" t="s">
        <v>61</v>
      </c>
      <c r="G12" s="34" t="s">
        <v>62</v>
      </c>
    </row>
    <row r="13" spans="1:7" ht="56.1" customHeight="1">
      <c r="A13" s="35" t="s">
        <v>63</v>
      </c>
      <c r="B13" s="35" t="s">
        <v>10</v>
      </c>
      <c r="C13" s="35" t="s">
        <v>64</v>
      </c>
      <c r="D13" s="35" t="s">
        <v>65</v>
      </c>
      <c r="E13" s="35" t="s">
        <v>66</v>
      </c>
      <c r="F13" s="35" t="s">
        <v>67</v>
      </c>
      <c r="G13" s="35" t="s">
        <v>68</v>
      </c>
    </row>
    <row r="14" spans="1:7">
      <c r="A14" s="34" t="s">
        <v>69</v>
      </c>
      <c r="B14" s="34" t="s">
        <v>44</v>
      </c>
      <c r="C14" s="34" t="s">
        <v>70</v>
      </c>
      <c r="D14" s="34" t="s">
        <v>71</v>
      </c>
      <c r="E14" s="34" t="s">
        <v>72</v>
      </c>
      <c r="F14" s="34" t="s">
        <v>73</v>
      </c>
      <c r="G14" s="34" t="s">
        <v>74</v>
      </c>
    </row>
    <row r="15" spans="1:7">
      <c r="B15" s="59"/>
      <c r="C15" s="59"/>
      <c r="D15" s="59"/>
      <c r="E15" s="59"/>
      <c r="F15" s="59"/>
      <c r="G15" s="59"/>
    </row>
    <row r="16" spans="1:7">
      <c r="A16" s="36" t="s">
        <v>75</v>
      </c>
      <c r="B16" s="37" t="s">
        <v>76</v>
      </c>
    </row>
  </sheetData>
  <autoFilter ref="A4:G14" xr:uid="{00000000-0009-0000-0000-000000000000}"/>
  <mergeCells count="3">
    <mergeCell ref="A2:G2"/>
    <mergeCell ref="B15:G15"/>
    <mergeCell ref="A1:G1"/>
  </mergeCells>
  <pageMargins left="0.75" right="0.75" top="1" bottom="1" header="0.5" footer="0.5"/>
  <pageSetup orientation="landscape"/>
  <headerFooter>
    <oddFooter>&amp;CSKODA Digital Procurement POC | Internal working recommendation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26" customWidth="1"/>
    <col min="3" max="3" width="34" customWidth="1"/>
    <col min="4" max="4" width="39" customWidth="1"/>
    <col min="5" max="5" width="27" customWidth="1"/>
    <col min="6" max="6" width="31" customWidth="1"/>
    <col min="7" max="7" width="34" customWidth="1"/>
    <col min="8" max="8" width="43" customWidth="1"/>
  </cols>
  <sheetData>
    <row r="1" spans="1:8" ht="27.95" customHeight="1">
      <c r="A1" s="52" t="s">
        <v>77</v>
      </c>
      <c r="B1" s="59"/>
      <c r="C1" s="59"/>
      <c r="D1" s="59"/>
      <c r="E1" s="59"/>
      <c r="F1" s="59"/>
      <c r="G1" s="59"/>
      <c r="H1" s="59"/>
    </row>
    <row r="2" spans="1:8" ht="32.1" customHeight="1">
      <c r="A2" s="51" t="s">
        <v>78</v>
      </c>
      <c r="B2" s="59"/>
      <c r="C2" s="59"/>
      <c r="D2" s="59"/>
      <c r="E2" s="59"/>
      <c r="F2" s="59"/>
      <c r="G2" s="59"/>
      <c r="H2" s="59"/>
    </row>
    <row r="4" spans="1:8" ht="30" customHeight="1">
      <c r="A4" s="33" t="s">
        <v>79</v>
      </c>
      <c r="B4" s="33" t="s">
        <v>80</v>
      </c>
      <c r="C4" s="33" t="s">
        <v>81</v>
      </c>
      <c r="D4" s="33" t="s">
        <v>82</v>
      </c>
      <c r="E4" s="33" t="s">
        <v>83</v>
      </c>
      <c r="F4" s="33" t="s">
        <v>84</v>
      </c>
      <c r="G4" s="33" t="s">
        <v>85</v>
      </c>
      <c r="H4" s="33" t="s">
        <v>86</v>
      </c>
    </row>
    <row r="5" spans="1:8" ht="56.1" customHeight="1">
      <c r="A5" s="34">
        <v>1</v>
      </c>
      <c r="B5" s="34" t="s">
        <v>87</v>
      </c>
      <c r="C5" s="34" t="s">
        <v>88</v>
      </c>
      <c r="D5" s="34" t="s">
        <v>89</v>
      </c>
      <c r="E5" s="34" t="s">
        <v>90</v>
      </c>
      <c r="F5" s="34" t="s">
        <v>91</v>
      </c>
      <c r="G5" s="34" t="s">
        <v>92</v>
      </c>
      <c r="H5" s="34" t="s">
        <v>93</v>
      </c>
    </row>
    <row r="6" spans="1:8" ht="56.1" customHeight="1">
      <c r="A6" s="35">
        <v>2</v>
      </c>
      <c r="B6" s="35" t="s">
        <v>94</v>
      </c>
      <c r="C6" s="35" t="s">
        <v>95</v>
      </c>
      <c r="D6" s="35" t="s">
        <v>96</v>
      </c>
      <c r="E6" s="35" t="s">
        <v>97</v>
      </c>
      <c r="F6" s="35" t="s">
        <v>98</v>
      </c>
      <c r="G6" s="35" t="s">
        <v>99</v>
      </c>
      <c r="H6" s="35" t="s">
        <v>100</v>
      </c>
    </row>
    <row r="7" spans="1:8" ht="56.1" customHeight="1">
      <c r="A7" s="34">
        <v>3</v>
      </c>
      <c r="B7" s="34" t="s">
        <v>101</v>
      </c>
      <c r="C7" s="34" t="s">
        <v>102</v>
      </c>
      <c r="D7" s="34" t="s">
        <v>103</v>
      </c>
      <c r="E7" s="34" t="s">
        <v>104</v>
      </c>
      <c r="F7" s="34" t="s">
        <v>105</v>
      </c>
      <c r="G7" s="34" t="s">
        <v>106</v>
      </c>
      <c r="H7" s="34" t="s">
        <v>107</v>
      </c>
    </row>
    <row r="8" spans="1:8" ht="56.1" customHeight="1">
      <c r="A8" s="35">
        <v>4</v>
      </c>
      <c r="B8" s="35" t="s">
        <v>108</v>
      </c>
      <c r="C8" s="35" t="s">
        <v>109</v>
      </c>
      <c r="D8" s="35" t="s">
        <v>110</v>
      </c>
      <c r="E8" s="35" t="s">
        <v>111</v>
      </c>
      <c r="F8" s="35" t="s">
        <v>112</v>
      </c>
      <c r="G8" s="35" t="s">
        <v>113</v>
      </c>
      <c r="H8" s="35" t="s">
        <v>114</v>
      </c>
    </row>
    <row r="9" spans="1:8" ht="56.1" customHeight="1">
      <c r="A9" s="34">
        <v>5</v>
      </c>
      <c r="B9" s="34" t="s">
        <v>115</v>
      </c>
      <c r="C9" s="34" t="s">
        <v>116</v>
      </c>
      <c r="D9" s="34" t="s">
        <v>117</v>
      </c>
      <c r="E9" s="34" t="s">
        <v>118</v>
      </c>
      <c r="F9" s="34" t="s">
        <v>119</v>
      </c>
      <c r="G9" s="34" t="s">
        <v>120</v>
      </c>
      <c r="H9" s="34" t="s">
        <v>121</v>
      </c>
    </row>
    <row r="10" spans="1:8" ht="56.1" customHeight="1">
      <c r="A10" s="35">
        <v>6</v>
      </c>
      <c r="B10" s="35" t="s">
        <v>122</v>
      </c>
      <c r="C10" s="35" t="s">
        <v>123</v>
      </c>
      <c r="D10" s="35" t="s">
        <v>124</v>
      </c>
      <c r="E10" s="35" t="s">
        <v>125</v>
      </c>
      <c r="F10" s="35" t="s">
        <v>126</v>
      </c>
      <c r="G10" s="35" t="s">
        <v>127</v>
      </c>
      <c r="H10" s="35" t="s">
        <v>128</v>
      </c>
    </row>
    <row r="11" spans="1:8" ht="66" customHeight="1">
      <c r="A11" s="35">
        <v>7</v>
      </c>
      <c r="B11" s="35" t="s">
        <v>129</v>
      </c>
      <c r="C11" s="35" t="s">
        <v>130</v>
      </c>
      <c r="D11" s="35" t="s">
        <v>131</v>
      </c>
      <c r="E11" s="35" t="s">
        <v>132</v>
      </c>
      <c r="F11" s="35" t="s">
        <v>133</v>
      </c>
      <c r="G11" s="35" t="s">
        <v>134</v>
      </c>
      <c r="H11" s="35" t="s">
        <v>135</v>
      </c>
    </row>
  </sheetData>
  <autoFilter ref="A4:H11" xr:uid="{00000000-0009-0000-0000-000001000000}"/>
  <mergeCells count="2">
    <mergeCell ref="A2:H2"/>
    <mergeCell ref="A1:H1"/>
  </mergeCells>
  <pageMargins left="0.75" right="0.75" top="1" bottom="1" header="0.5" footer="0.5"/>
  <pageSetup orientation="landscape"/>
  <headerFooter>
    <oddFooter>&amp;CSKODA Digital Procurement POC | Internal working recommendation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1" customWidth="1"/>
    <col min="2" max="2" width="40" customWidth="1"/>
    <col min="3" max="3" width="33" customWidth="1"/>
    <col min="4" max="4" width="48" customWidth="1"/>
    <col min="5" max="5" width="43" customWidth="1"/>
    <col min="6" max="6" width="38" customWidth="1"/>
  </cols>
  <sheetData>
    <row r="1" spans="1:6" ht="27.95" customHeight="1">
      <c r="A1" s="52" t="s">
        <v>136</v>
      </c>
      <c r="B1" s="59"/>
      <c r="C1" s="59"/>
      <c r="D1" s="59"/>
      <c r="E1" s="59"/>
      <c r="F1" s="59"/>
    </row>
    <row r="2" spans="1:6" ht="32.1" customHeight="1">
      <c r="A2" s="51" t="s">
        <v>137</v>
      </c>
      <c r="B2" s="59"/>
      <c r="C2" s="59"/>
      <c r="D2" s="59"/>
      <c r="E2" s="59"/>
      <c r="F2" s="59"/>
    </row>
    <row r="4" spans="1:6" ht="30" customHeight="1">
      <c r="A4" s="33" t="s">
        <v>138</v>
      </c>
      <c r="B4" s="33" t="s">
        <v>139</v>
      </c>
      <c r="C4" s="33" t="s">
        <v>140</v>
      </c>
      <c r="D4" s="33" t="s">
        <v>141</v>
      </c>
      <c r="E4" s="33" t="s">
        <v>142</v>
      </c>
      <c r="F4" s="33" t="s">
        <v>143</v>
      </c>
    </row>
    <row r="5" spans="1:6" ht="56.1" customHeight="1">
      <c r="A5" s="34" t="s">
        <v>144</v>
      </c>
      <c r="B5" s="34" t="s">
        <v>145</v>
      </c>
      <c r="C5" s="34" t="s">
        <v>146</v>
      </c>
      <c r="D5" s="34" t="s">
        <v>147</v>
      </c>
      <c r="E5" s="34" t="s">
        <v>148</v>
      </c>
      <c r="F5" s="34" t="s">
        <v>149</v>
      </c>
    </row>
    <row r="6" spans="1:6" ht="56.1" customHeight="1">
      <c r="A6" s="35" t="s">
        <v>150</v>
      </c>
      <c r="B6" s="35" t="s">
        <v>151</v>
      </c>
      <c r="C6" s="35" t="s">
        <v>152</v>
      </c>
      <c r="D6" s="35" t="s">
        <v>153</v>
      </c>
      <c r="E6" s="35" t="s">
        <v>154</v>
      </c>
      <c r="F6" s="35" t="s">
        <v>155</v>
      </c>
    </row>
    <row r="7" spans="1:6" ht="56.1" customHeight="1">
      <c r="A7" s="34" t="s">
        <v>156</v>
      </c>
      <c r="B7" s="34" t="s">
        <v>157</v>
      </c>
      <c r="C7" s="34" t="s">
        <v>158</v>
      </c>
      <c r="D7" s="34" t="s">
        <v>159</v>
      </c>
      <c r="E7" s="34" t="s">
        <v>160</v>
      </c>
      <c r="F7" s="34" t="s">
        <v>161</v>
      </c>
    </row>
    <row r="8" spans="1:6" ht="56.1" customHeight="1">
      <c r="A8" s="35" t="s">
        <v>162</v>
      </c>
      <c r="B8" s="35" t="s">
        <v>163</v>
      </c>
      <c r="C8" s="35" t="s">
        <v>164</v>
      </c>
      <c r="D8" s="35" t="s">
        <v>165</v>
      </c>
      <c r="E8" s="35" t="s">
        <v>166</v>
      </c>
      <c r="F8" s="35" t="s">
        <v>167</v>
      </c>
    </row>
    <row r="9" spans="1:6" ht="56.1" customHeight="1">
      <c r="A9" s="34" t="s">
        <v>168</v>
      </c>
      <c r="B9" s="34" t="s">
        <v>169</v>
      </c>
      <c r="C9" s="34" t="s">
        <v>170</v>
      </c>
      <c r="D9" s="34" t="s">
        <v>171</v>
      </c>
      <c r="E9" s="34" t="s">
        <v>172</v>
      </c>
      <c r="F9" s="34" t="s">
        <v>173</v>
      </c>
    </row>
    <row r="10" spans="1:6" ht="56.1" customHeight="1">
      <c r="A10" s="35" t="s">
        <v>174</v>
      </c>
      <c r="B10" s="35" t="s">
        <v>175</v>
      </c>
      <c r="C10" s="35" t="s">
        <v>176</v>
      </c>
      <c r="D10" s="35" t="s">
        <v>177</v>
      </c>
      <c r="E10" s="35" t="s">
        <v>178</v>
      </c>
      <c r="F10" s="35" t="s">
        <v>179</v>
      </c>
    </row>
  </sheetData>
  <autoFilter ref="A4:F10" xr:uid="{00000000-0009-0000-0000-000002000000}"/>
  <mergeCells count="2">
    <mergeCell ref="A2:F2"/>
    <mergeCell ref="A1:F1"/>
  </mergeCells>
  <pageMargins left="0.75" right="0.75" top="1" bottom="1" header="0.5" footer="0.5"/>
  <pageSetup orientation="landscape"/>
  <headerFooter>
    <oddFooter>&amp;CSKODA Digital Procurement POC | Internal working recommendation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" customWidth="1"/>
    <col min="2" max="2" width="32" customWidth="1"/>
    <col min="3" max="3" width="64" customWidth="1"/>
    <col min="4" max="4" width="32" customWidth="1"/>
    <col min="5" max="5" width="35" customWidth="1"/>
  </cols>
  <sheetData>
    <row r="1" spans="1:5" ht="27.95" customHeight="1">
      <c r="A1" s="52" t="s">
        <v>180</v>
      </c>
      <c r="B1" s="59"/>
      <c r="C1" s="59"/>
      <c r="D1" s="59"/>
      <c r="E1" s="59"/>
    </row>
    <row r="2" spans="1:5" ht="32.1" customHeight="1">
      <c r="A2" s="51" t="s">
        <v>181</v>
      </c>
      <c r="B2" s="59"/>
      <c r="C2" s="59"/>
      <c r="D2" s="59"/>
      <c r="E2" s="59"/>
    </row>
    <row r="4" spans="1:5" ht="30" customHeight="1">
      <c r="A4" s="33" t="s">
        <v>174</v>
      </c>
      <c r="B4" s="33" t="s">
        <v>182</v>
      </c>
      <c r="C4" s="33" t="s">
        <v>183</v>
      </c>
      <c r="D4" s="33" t="s">
        <v>184</v>
      </c>
      <c r="E4" s="33" t="s">
        <v>185</v>
      </c>
    </row>
    <row r="5" spans="1:5" ht="57.95" customHeight="1">
      <c r="A5" s="34" t="s">
        <v>186</v>
      </c>
      <c r="B5" s="34" t="s">
        <v>187</v>
      </c>
      <c r="C5" s="34" t="s">
        <v>188</v>
      </c>
      <c r="D5" s="34" t="s">
        <v>189</v>
      </c>
      <c r="E5" s="34" t="s">
        <v>190</v>
      </c>
    </row>
    <row r="6" spans="1:5" ht="57.95" customHeight="1">
      <c r="A6" s="34" t="s">
        <v>191</v>
      </c>
      <c r="B6" s="34" t="s">
        <v>192</v>
      </c>
      <c r="C6" s="34" t="s">
        <v>193</v>
      </c>
      <c r="D6" s="34" t="s">
        <v>194</v>
      </c>
      <c r="E6" s="34" t="s">
        <v>195</v>
      </c>
    </row>
    <row r="7" spans="1:5" ht="57.95" customHeight="1">
      <c r="A7" s="34" t="s">
        <v>196</v>
      </c>
      <c r="B7" s="34" t="s">
        <v>197</v>
      </c>
      <c r="C7" s="34" t="s">
        <v>198</v>
      </c>
      <c r="D7" s="34" t="s">
        <v>199</v>
      </c>
      <c r="E7" s="34" t="s">
        <v>200</v>
      </c>
    </row>
    <row r="8" spans="1:5" ht="57.95" customHeight="1">
      <c r="A8" s="34" t="s">
        <v>201</v>
      </c>
      <c r="B8" s="34" t="s">
        <v>202</v>
      </c>
      <c r="C8" s="34" t="s">
        <v>203</v>
      </c>
      <c r="D8" s="34" t="s">
        <v>204</v>
      </c>
      <c r="E8" s="34" t="s">
        <v>205</v>
      </c>
    </row>
    <row r="9" spans="1:5" ht="57.95" customHeight="1">
      <c r="A9" s="34" t="s">
        <v>206</v>
      </c>
      <c r="B9" s="34" t="s">
        <v>207</v>
      </c>
      <c r="C9" s="34" t="s">
        <v>208</v>
      </c>
      <c r="D9" s="34" t="s">
        <v>209</v>
      </c>
      <c r="E9" s="34" t="s">
        <v>210</v>
      </c>
    </row>
    <row r="10" spans="1:5" ht="57.95" customHeight="1">
      <c r="A10" s="34" t="s">
        <v>211</v>
      </c>
      <c r="B10" s="34" t="s">
        <v>212</v>
      </c>
      <c r="C10" s="34" t="s">
        <v>213</v>
      </c>
      <c r="D10" s="34" t="s">
        <v>214</v>
      </c>
      <c r="E10" s="34" t="s">
        <v>215</v>
      </c>
    </row>
    <row r="11" spans="1:5" ht="57.95" customHeight="1">
      <c r="A11" s="34" t="s">
        <v>216</v>
      </c>
      <c r="B11" s="34" t="s">
        <v>217</v>
      </c>
      <c r="C11" s="34" t="s">
        <v>218</v>
      </c>
      <c r="D11" s="34" t="s">
        <v>219</v>
      </c>
      <c r="E11" s="34" t="s">
        <v>220</v>
      </c>
    </row>
    <row r="12" spans="1:5" ht="57.95" customHeight="1">
      <c r="A12" s="34" t="s">
        <v>221</v>
      </c>
      <c r="B12" s="34" t="s">
        <v>222</v>
      </c>
      <c r="C12" s="34" t="s">
        <v>223</v>
      </c>
      <c r="D12" s="34" t="s">
        <v>224</v>
      </c>
      <c r="E12" s="34" t="s">
        <v>225</v>
      </c>
    </row>
    <row r="13" spans="1:5" ht="57.95" customHeight="1">
      <c r="A13" s="34" t="s">
        <v>226</v>
      </c>
      <c r="B13" s="34" t="s">
        <v>227</v>
      </c>
      <c r="C13" s="34" t="s">
        <v>228</v>
      </c>
      <c r="D13" s="34" t="s">
        <v>229</v>
      </c>
      <c r="E13" s="34" t="s">
        <v>230</v>
      </c>
    </row>
    <row r="14" spans="1:5" ht="57.95" customHeight="1">
      <c r="A14" s="34" t="s">
        <v>231</v>
      </c>
      <c r="B14" s="34" t="s">
        <v>232</v>
      </c>
      <c r="C14" s="34" t="s">
        <v>233</v>
      </c>
      <c r="D14" s="34" t="s">
        <v>234</v>
      </c>
      <c r="E14" s="34" t="s">
        <v>235</v>
      </c>
    </row>
  </sheetData>
  <autoFilter ref="A4:E14" xr:uid="{00000000-0009-0000-0000-000003000000}"/>
  <mergeCells count="2">
    <mergeCell ref="A2:E2"/>
    <mergeCell ref="A1:E1"/>
  </mergeCells>
  <pageMargins left="0.75" right="0.75" top="1" bottom="1" header="0.5" footer="0.5"/>
  <pageSetup orientation="landscape"/>
  <headerFooter>
    <oddFooter>&amp;CSKODA Digital Procurement POC | Internal working recommendation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" customWidth="1"/>
    <col min="2" max="2" width="28" customWidth="1"/>
    <col min="3" max="3" width="48" customWidth="1"/>
    <col min="4" max="4" width="45" customWidth="1"/>
    <col min="5" max="14" width="13" customWidth="1"/>
  </cols>
  <sheetData>
    <row r="1" spans="1:14" ht="30" customHeight="1">
      <c r="A1" s="54" t="s">
        <v>236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237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5" spans="1:14">
      <c r="A5" s="38" t="s">
        <v>79</v>
      </c>
      <c r="B5" s="38" t="s">
        <v>238</v>
      </c>
      <c r="C5" s="38" t="s">
        <v>239</v>
      </c>
      <c r="D5" s="38" t="s">
        <v>240</v>
      </c>
    </row>
    <row r="6" spans="1:14">
      <c r="A6" s="39">
        <v>1</v>
      </c>
      <c r="B6" s="39" t="s">
        <v>241</v>
      </c>
      <c r="C6" s="39" t="s">
        <v>189</v>
      </c>
      <c r="D6" s="39" t="s">
        <v>242</v>
      </c>
    </row>
    <row r="7" spans="1:14">
      <c r="A7" s="40">
        <v>2</v>
      </c>
      <c r="B7" s="40" t="s">
        <v>243</v>
      </c>
      <c r="C7" s="40" t="s">
        <v>194</v>
      </c>
      <c r="D7" s="40" t="s">
        <v>244</v>
      </c>
    </row>
    <row r="8" spans="1:14">
      <c r="A8" s="39">
        <v>3</v>
      </c>
      <c r="B8" s="39" t="s">
        <v>245</v>
      </c>
      <c r="C8" s="39" t="s">
        <v>246</v>
      </c>
      <c r="D8" s="39" t="s">
        <v>247</v>
      </c>
    </row>
    <row r="9" spans="1:14">
      <c r="A9" s="40">
        <v>4</v>
      </c>
      <c r="B9" s="40" t="s">
        <v>248</v>
      </c>
      <c r="C9" s="40" t="s">
        <v>204</v>
      </c>
      <c r="D9" s="40" t="s">
        <v>249</v>
      </c>
    </row>
    <row r="10" spans="1:14">
      <c r="A10" s="39">
        <v>5</v>
      </c>
      <c r="B10" s="39" t="s">
        <v>250</v>
      </c>
      <c r="C10" s="39" t="s">
        <v>251</v>
      </c>
      <c r="D10" s="39" t="s">
        <v>252</v>
      </c>
    </row>
    <row r="11" spans="1:14">
      <c r="A11" s="40">
        <v>6</v>
      </c>
      <c r="B11" s="40" t="s">
        <v>253</v>
      </c>
      <c r="C11" s="40" t="s">
        <v>214</v>
      </c>
      <c r="D11" s="40" t="s">
        <v>254</v>
      </c>
    </row>
    <row r="12" spans="1:14">
      <c r="A12" s="39">
        <v>7</v>
      </c>
      <c r="B12" s="39" t="s">
        <v>255</v>
      </c>
      <c r="C12" s="39" t="s">
        <v>256</v>
      </c>
      <c r="D12" s="39" t="s">
        <v>257</v>
      </c>
    </row>
    <row r="16" spans="1:14" ht="38.1" customHeight="1">
      <c r="A16" s="60" t="s">
        <v>258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</row>
  </sheetData>
  <mergeCells count="3">
    <mergeCell ref="A16:N16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259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260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261</v>
      </c>
      <c r="D4" s="42" t="s">
        <v>262</v>
      </c>
      <c r="G4" s="43" t="s">
        <v>263</v>
      </c>
      <c r="J4" s="44" t="s">
        <v>264</v>
      </c>
      <c r="M4" s="45" t="s">
        <v>265</v>
      </c>
    </row>
    <row r="8" spans="1:14">
      <c r="A8" s="38" t="s">
        <v>266</v>
      </c>
      <c r="B8" s="38" t="s">
        <v>267</v>
      </c>
      <c r="C8" s="38" t="s">
        <v>268</v>
      </c>
    </row>
    <row r="9" spans="1:14">
      <c r="A9" s="40" t="s">
        <v>269</v>
      </c>
      <c r="B9" s="40">
        <v>196</v>
      </c>
      <c r="C9" s="40">
        <v>5.2</v>
      </c>
    </row>
    <row r="10" spans="1:14">
      <c r="A10" s="39" t="s">
        <v>270</v>
      </c>
      <c r="B10" s="39">
        <v>201</v>
      </c>
      <c r="C10" s="39">
        <v>5.8</v>
      </c>
    </row>
    <row r="11" spans="1:14">
      <c r="A11" s="40" t="s">
        <v>271</v>
      </c>
      <c r="B11" s="40">
        <v>205</v>
      </c>
      <c r="C11" s="40">
        <v>6.4</v>
      </c>
    </row>
    <row r="12" spans="1:14">
      <c r="A12" s="39" t="s">
        <v>272</v>
      </c>
      <c r="B12" s="39">
        <v>210</v>
      </c>
      <c r="C12" s="39">
        <v>7.1</v>
      </c>
    </row>
    <row r="13" spans="1:14">
      <c r="A13" s="40" t="s">
        <v>273</v>
      </c>
      <c r="B13" s="40">
        <v>216</v>
      </c>
      <c r="C13" s="40">
        <v>8.1999999999999993</v>
      </c>
    </row>
    <row r="14" spans="1:14">
      <c r="A14" s="39" t="s">
        <v>274</v>
      </c>
      <c r="B14" s="39">
        <v>220</v>
      </c>
      <c r="C14" s="39">
        <v>9.9</v>
      </c>
    </row>
    <row r="17" spans="1:14">
      <c r="A17" s="38" t="s">
        <v>275</v>
      </c>
      <c r="B17" s="38" t="s">
        <v>267</v>
      </c>
      <c r="C17" s="38" t="s">
        <v>268</v>
      </c>
      <c r="D17" s="38" t="s">
        <v>276</v>
      </c>
    </row>
    <row r="18" spans="1:14">
      <c r="A18" s="39" t="s">
        <v>277</v>
      </c>
      <c r="B18" s="39">
        <v>198</v>
      </c>
      <c r="C18" s="39">
        <v>6.8</v>
      </c>
      <c r="D18" s="39">
        <v>2</v>
      </c>
    </row>
    <row r="19" spans="1:14">
      <c r="A19" s="40" t="s">
        <v>278</v>
      </c>
      <c r="B19" s="40">
        <v>252</v>
      </c>
      <c r="C19" s="40">
        <v>9.1</v>
      </c>
      <c r="D19" s="40">
        <v>4</v>
      </c>
    </row>
    <row r="20" spans="1:14">
      <c r="A20" s="39" t="s">
        <v>279</v>
      </c>
      <c r="B20" s="39">
        <v>231</v>
      </c>
      <c r="C20" s="39">
        <v>8.6</v>
      </c>
      <c r="D20" s="39">
        <v>3</v>
      </c>
    </row>
    <row r="21" spans="1:14">
      <c r="A21" s="40" t="s">
        <v>280</v>
      </c>
      <c r="B21" s="40">
        <v>286</v>
      </c>
      <c r="C21" s="40">
        <v>10.4</v>
      </c>
      <c r="D21" s="40">
        <v>5</v>
      </c>
    </row>
    <row r="22" spans="1:14">
      <c r="A22" s="39" t="s">
        <v>281</v>
      </c>
      <c r="B22" s="39">
        <v>164</v>
      </c>
      <c r="C22" s="39">
        <v>4.5999999999999996</v>
      </c>
      <c r="D22" s="39">
        <v>1</v>
      </c>
    </row>
    <row r="23" spans="1:14">
      <c r="A23" s="40" t="s">
        <v>282</v>
      </c>
      <c r="B23" s="40">
        <v>117</v>
      </c>
      <c r="C23" s="40">
        <v>3.1</v>
      </c>
      <c r="D23" s="40">
        <v>2</v>
      </c>
    </row>
    <row r="25" spans="1:14" ht="38.1" customHeight="1">
      <c r="A25" s="61" t="s">
        <v>283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</sheetData>
  <mergeCells count="3">
    <mergeCell ref="A25:N25"/>
    <mergeCell ref="A2:N2"/>
    <mergeCell ref="A1:N1"/>
  </mergeCells>
  <conditionalFormatting sqref="D18:D23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284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285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286</v>
      </c>
      <c r="D4" s="45" t="s">
        <v>287</v>
      </c>
      <c r="G4" s="46" t="s">
        <v>288</v>
      </c>
      <c r="J4" s="45" t="s">
        <v>289</v>
      </c>
    </row>
    <row r="8" spans="1:14">
      <c r="A8" s="38" t="s">
        <v>150</v>
      </c>
      <c r="B8" s="38" t="s">
        <v>290</v>
      </c>
      <c r="C8" s="38" t="s">
        <v>291</v>
      </c>
      <c r="D8" s="38" t="s">
        <v>292</v>
      </c>
      <c r="E8" s="38" t="s">
        <v>293</v>
      </c>
    </row>
    <row r="9" spans="1:14">
      <c r="A9" s="40" t="s">
        <v>294</v>
      </c>
      <c r="B9" s="40">
        <v>4.5999999999999996</v>
      </c>
      <c r="C9" s="40">
        <v>4.82</v>
      </c>
      <c r="D9" s="40">
        <v>0.22000000000000061</v>
      </c>
      <c r="E9" s="47">
        <v>4.7826086956521907E-2</v>
      </c>
    </row>
    <row r="10" spans="1:14">
      <c r="A10" s="39" t="s">
        <v>295</v>
      </c>
      <c r="B10" s="39">
        <v>2.1</v>
      </c>
      <c r="C10" s="39">
        <v>2.1800000000000002</v>
      </c>
      <c r="D10" s="39">
        <v>8.0000000000000071E-2</v>
      </c>
      <c r="E10" s="48">
        <v>3.8095238095238182E-2</v>
      </c>
    </row>
    <row r="11" spans="1:14">
      <c r="A11" s="40" t="s">
        <v>296</v>
      </c>
      <c r="B11" s="40">
        <v>1.85</v>
      </c>
      <c r="C11" s="40">
        <v>1.95</v>
      </c>
      <c r="D11" s="40">
        <v>9.9999999999999867E-2</v>
      </c>
      <c r="E11" s="47">
        <v>5.4054054054053953E-2</v>
      </c>
    </row>
    <row r="12" spans="1:14">
      <c r="A12" s="39" t="s">
        <v>297</v>
      </c>
      <c r="B12" s="39">
        <v>2</v>
      </c>
      <c r="C12" s="39">
        <v>2.08</v>
      </c>
      <c r="D12" s="39">
        <v>8.0000000000000071E-2</v>
      </c>
      <c r="E12" s="48">
        <v>4.0000000000000042E-2</v>
      </c>
    </row>
    <row r="13" spans="1:14">
      <c r="A13" s="40" t="s">
        <v>298</v>
      </c>
      <c r="B13" s="40">
        <v>1.7</v>
      </c>
      <c r="C13" s="40">
        <v>1.69</v>
      </c>
      <c r="D13" s="40">
        <v>-1.0000000000000011E-2</v>
      </c>
      <c r="E13" s="47">
        <v>-5.8823529411764497E-3</v>
      </c>
    </row>
    <row r="14" spans="1:14">
      <c r="A14" s="39" t="s">
        <v>299</v>
      </c>
      <c r="B14" s="39">
        <v>1.95</v>
      </c>
      <c r="C14" s="39">
        <v>1.94</v>
      </c>
      <c r="D14" s="39">
        <v>-1.0000000000000011E-2</v>
      </c>
      <c r="E14" s="48">
        <v>-5.12820512820511E-3</v>
      </c>
    </row>
    <row r="17" spans="1:14">
      <c r="A17" s="38" t="s">
        <v>300</v>
      </c>
      <c r="B17" s="38" t="s">
        <v>150</v>
      </c>
      <c r="C17" s="38" t="s">
        <v>168</v>
      </c>
      <c r="D17" s="38" t="s">
        <v>301</v>
      </c>
      <c r="E17" s="38" t="s">
        <v>302</v>
      </c>
    </row>
    <row r="18" spans="1:14">
      <c r="A18" s="39" t="s">
        <v>303</v>
      </c>
      <c r="B18" s="39" t="s">
        <v>294</v>
      </c>
      <c r="C18" s="39" t="s">
        <v>304</v>
      </c>
      <c r="D18" s="39">
        <v>0.12</v>
      </c>
      <c r="E18" s="39" t="s">
        <v>305</v>
      </c>
    </row>
    <row r="19" spans="1:14">
      <c r="A19" s="40" t="s">
        <v>306</v>
      </c>
      <c r="B19" s="40" t="s">
        <v>294</v>
      </c>
      <c r="C19" s="40" t="s">
        <v>307</v>
      </c>
      <c r="D19" s="40">
        <v>7.0000000000000007E-2</v>
      </c>
      <c r="E19" s="40" t="s">
        <v>308</v>
      </c>
    </row>
    <row r="20" spans="1:14">
      <c r="A20" s="39" t="s">
        <v>309</v>
      </c>
      <c r="B20" s="39" t="s">
        <v>295</v>
      </c>
      <c r="C20" s="39" t="s">
        <v>310</v>
      </c>
      <c r="D20" s="39">
        <v>0.05</v>
      </c>
      <c r="E20" s="39" t="s">
        <v>311</v>
      </c>
    </row>
    <row r="21" spans="1:14">
      <c r="A21" s="40" t="s">
        <v>312</v>
      </c>
      <c r="B21" s="40" t="s">
        <v>296</v>
      </c>
      <c r="C21" s="40" t="s">
        <v>313</v>
      </c>
      <c r="D21" s="40">
        <v>0.04</v>
      </c>
      <c r="E21" s="40" t="s">
        <v>314</v>
      </c>
    </row>
    <row r="22" spans="1:14">
      <c r="A22" s="39" t="s">
        <v>315</v>
      </c>
      <c r="B22" s="39" t="s">
        <v>297</v>
      </c>
      <c r="C22" s="39" t="s">
        <v>316</v>
      </c>
      <c r="D22" s="39">
        <v>0.06</v>
      </c>
      <c r="E22" s="39" t="s">
        <v>317</v>
      </c>
    </row>
    <row r="23" spans="1:14">
      <c r="A23" s="40" t="s">
        <v>318</v>
      </c>
      <c r="B23" s="40" t="s">
        <v>297</v>
      </c>
      <c r="C23" s="40" t="s">
        <v>319</v>
      </c>
      <c r="D23" s="40">
        <v>0.02</v>
      </c>
      <c r="E23" s="40" t="s">
        <v>320</v>
      </c>
    </row>
    <row r="25" spans="1:14" ht="38.1" customHeight="1">
      <c r="A25" s="61" t="s">
        <v>321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</sheetData>
  <mergeCells count="3">
    <mergeCell ref="A25:N25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322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323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324</v>
      </c>
      <c r="D4" s="42" t="s">
        <v>325</v>
      </c>
      <c r="G4" s="43" t="s">
        <v>326</v>
      </c>
      <c r="J4" s="45" t="s">
        <v>327</v>
      </c>
    </row>
    <row r="8" spans="1:14">
      <c r="A8" s="38" t="s">
        <v>150</v>
      </c>
      <c r="B8" s="38" t="s">
        <v>328</v>
      </c>
      <c r="C8" s="38" t="s">
        <v>329</v>
      </c>
      <c r="D8" s="38" t="s">
        <v>330</v>
      </c>
      <c r="E8" s="38" t="s">
        <v>331</v>
      </c>
    </row>
    <row r="9" spans="1:14">
      <c r="A9" s="40" t="s">
        <v>294</v>
      </c>
      <c r="B9" s="40">
        <v>11</v>
      </c>
      <c r="C9" s="40">
        <v>9.4</v>
      </c>
      <c r="D9" s="49">
        <v>0.85454545454545461</v>
      </c>
      <c r="E9" s="40">
        <v>1.8</v>
      </c>
    </row>
    <row r="10" spans="1:14">
      <c r="A10" s="39" t="s">
        <v>295</v>
      </c>
      <c r="B10" s="39">
        <v>7</v>
      </c>
      <c r="C10" s="39">
        <v>6.8</v>
      </c>
      <c r="D10" s="50">
        <v>0.97142857142857142</v>
      </c>
      <c r="E10" s="39">
        <v>0.7</v>
      </c>
    </row>
    <row r="11" spans="1:14">
      <c r="A11" s="40" t="s">
        <v>296</v>
      </c>
      <c r="B11" s="40">
        <v>8</v>
      </c>
      <c r="C11" s="40">
        <v>7.1</v>
      </c>
      <c r="D11" s="49">
        <v>0.88749999999999996</v>
      </c>
      <c r="E11" s="40">
        <v>1.1000000000000001</v>
      </c>
    </row>
    <row r="12" spans="1:14">
      <c r="A12" s="39" t="s">
        <v>297</v>
      </c>
      <c r="B12" s="39">
        <v>9</v>
      </c>
      <c r="C12" s="39">
        <v>7.4</v>
      </c>
      <c r="D12" s="50">
        <v>0.8222222222222223</v>
      </c>
      <c r="E12" s="39">
        <v>1.6</v>
      </c>
    </row>
    <row r="13" spans="1:14">
      <c r="A13" s="40" t="s">
        <v>298</v>
      </c>
      <c r="B13" s="40">
        <v>6</v>
      </c>
      <c r="C13" s="40">
        <v>5.3</v>
      </c>
      <c r="D13" s="49">
        <v>0.8833333333333333</v>
      </c>
      <c r="E13" s="40">
        <v>0.9</v>
      </c>
    </row>
    <row r="14" spans="1:14">
      <c r="A14" s="39" t="s">
        <v>299</v>
      </c>
      <c r="B14" s="39">
        <v>5.8</v>
      </c>
      <c r="C14" s="39">
        <v>6.6</v>
      </c>
      <c r="D14" s="50">
        <v>1.1379310344827589</v>
      </c>
      <c r="E14" s="39">
        <v>0.8</v>
      </c>
    </row>
    <row r="17" spans="1:14">
      <c r="A17" s="38" t="s">
        <v>266</v>
      </c>
      <c r="B17" s="38" t="s">
        <v>329</v>
      </c>
      <c r="C17" s="38" t="s">
        <v>332</v>
      </c>
    </row>
    <row r="18" spans="1:14">
      <c r="A18" s="39" t="s">
        <v>269</v>
      </c>
      <c r="B18" s="39">
        <v>5.2</v>
      </c>
      <c r="C18" s="39">
        <v>6.3</v>
      </c>
    </row>
    <row r="19" spans="1:14">
      <c r="A19" s="40" t="s">
        <v>270</v>
      </c>
      <c r="B19" s="40">
        <v>5.8</v>
      </c>
      <c r="C19" s="40">
        <v>6.8</v>
      </c>
    </row>
    <row r="20" spans="1:14">
      <c r="A20" s="39" t="s">
        <v>271</v>
      </c>
      <c r="B20" s="39">
        <v>6.4</v>
      </c>
      <c r="C20" s="39">
        <v>7.2</v>
      </c>
    </row>
    <row r="21" spans="1:14">
      <c r="A21" s="40" t="s">
        <v>272</v>
      </c>
      <c r="B21" s="40">
        <v>7.1</v>
      </c>
      <c r="C21" s="40">
        <v>7.7</v>
      </c>
    </row>
    <row r="22" spans="1:14">
      <c r="A22" s="39" t="s">
        <v>273</v>
      </c>
      <c r="B22" s="39">
        <v>8.1999999999999993</v>
      </c>
      <c r="C22" s="39">
        <v>8.6</v>
      </c>
    </row>
    <row r="23" spans="1:14">
      <c r="A23" s="40" t="s">
        <v>274</v>
      </c>
      <c r="B23" s="40">
        <v>9.9</v>
      </c>
      <c r="C23" s="40">
        <v>10.199999999999999</v>
      </c>
    </row>
    <row r="25" spans="1:14" ht="38.1" customHeight="1">
      <c r="A25" s="60" t="s">
        <v>333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</sheetData>
  <mergeCells count="3">
    <mergeCell ref="A25:N25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334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335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336</v>
      </c>
      <c r="D4" s="42" t="s">
        <v>337</v>
      </c>
      <c r="G4" s="43" t="s">
        <v>338</v>
      </c>
      <c r="J4" s="45" t="s">
        <v>339</v>
      </c>
    </row>
    <row r="8" spans="1:14">
      <c r="A8" s="38" t="s">
        <v>266</v>
      </c>
      <c r="B8" s="38" t="s">
        <v>340</v>
      </c>
      <c r="C8" s="38" t="s">
        <v>341</v>
      </c>
      <c r="D8" s="38" t="s">
        <v>342</v>
      </c>
      <c r="E8" s="38" t="s">
        <v>343</v>
      </c>
    </row>
    <row r="9" spans="1:14">
      <c r="A9" s="40" t="s">
        <v>269</v>
      </c>
      <c r="B9" s="40">
        <v>8100</v>
      </c>
      <c r="C9" s="40">
        <v>8600</v>
      </c>
      <c r="D9" s="47">
        <v>6.1728395061728447E-2</v>
      </c>
      <c r="E9" s="40">
        <v>14.15</v>
      </c>
    </row>
    <row r="10" spans="1:14">
      <c r="A10" s="39" t="s">
        <v>270</v>
      </c>
      <c r="B10" s="39">
        <v>8500</v>
      </c>
      <c r="C10" s="39">
        <v>9000</v>
      </c>
      <c r="D10" s="48">
        <v>5.8823529411764719E-2</v>
      </c>
      <c r="E10" s="39">
        <v>14.22</v>
      </c>
    </row>
    <row r="11" spans="1:14">
      <c r="A11" s="40" t="s">
        <v>271</v>
      </c>
      <c r="B11" s="40">
        <v>8700</v>
      </c>
      <c r="C11" s="40">
        <v>9300</v>
      </c>
      <c r="D11" s="47">
        <v>6.8965517241379226E-2</v>
      </c>
      <c r="E11" s="40">
        <v>14.31</v>
      </c>
    </row>
    <row r="12" spans="1:14">
      <c r="A12" s="39" t="s">
        <v>272</v>
      </c>
      <c r="B12" s="39">
        <v>8900</v>
      </c>
      <c r="C12" s="39">
        <v>9500</v>
      </c>
      <c r="D12" s="48">
        <v>6.7415730337078594E-2</v>
      </c>
      <c r="E12" s="39">
        <v>14.38</v>
      </c>
    </row>
    <row r="13" spans="1:14">
      <c r="A13" s="40" t="s">
        <v>273</v>
      </c>
      <c r="B13" s="40">
        <v>9000</v>
      </c>
      <c r="C13" s="40">
        <v>9900</v>
      </c>
      <c r="D13" s="47">
        <v>0.1000000000000001</v>
      </c>
      <c r="E13" s="40">
        <v>14.51</v>
      </c>
    </row>
    <row r="14" spans="1:14">
      <c r="A14" s="39" t="s">
        <v>274</v>
      </c>
      <c r="B14" s="39">
        <v>9000</v>
      </c>
      <c r="C14" s="39">
        <v>10180</v>
      </c>
      <c r="D14" s="48">
        <v>0.13111111111111121</v>
      </c>
      <c r="E14" s="39">
        <v>14.66</v>
      </c>
    </row>
    <row r="25" spans="1:14" ht="38.1" customHeight="1">
      <c r="A25" s="61" t="s">
        <v>344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</sheetData>
  <mergeCells count="3">
    <mergeCell ref="A25:N25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345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346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347</v>
      </c>
      <c r="D4" s="43" t="s">
        <v>348</v>
      </c>
      <c r="G4" s="42" t="s">
        <v>349</v>
      </c>
      <c r="J4" s="45" t="s">
        <v>350</v>
      </c>
      <c r="M4" s="46" t="s">
        <v>351</v>
      </c>
    </row>
    <row r="8" spans="1:14">
      <c r="A8" s="38" t="s">
        <v>150</v>
      </c>
      <c r="B8" s="38" t="s">
        <v>156</v>
      </c>
      <c r="C8" s="38" t="s">
        <v>168</v>
      </c>
      <c r="D8" s="38" t="s">
        <v>352</v>
      </c>
      <c r="E8" s="38" t="s">
        <v>268</v>
      </c>
      <c r="F8" s="38" t="s">
        <v>353</v>
      </c>
      <c r="G8" s="38" t="s">
        <v>354</v>
      </c>
    </row>
    <row r="9" spans="1:14">
      <c r="A9" s="40" t="s">
        <v>294</v>
      </c>
      <c r="B9" s="40" t="s">
        <v>303</v>
      </c>
      <c r="C9" s="40" t="s">
        <v>304</v>
      </c>
      <c r="D9" s="40">
        <v>1.1000000000000001</v>
      </c>
      <c r="E9" s="40">
        <v>0.6</v>
      </c>
      <c r="F9" s="40" t="s">
        <v>355</v>
      </c>
      <c r="G9" s="40" t="s">
        <v>356</v>
      </c>
    </row>
    <row r="10" spans="1:14">
      <c r="A10" s="39" t="s">
        <v>294</v>
      </c>
      <c r="B10" s="39" t="s">
        <v>306</v>
      </c>
      <c r="C10" s="39" t="s">
        <v>307</v>
      </c>
      <c r="D10" s="39">
        <v>0.8</v>
      </c>
      <c r="E10" s="39">
        <v>0.5</v>
      </c>
      <c r="F10" s="39" t="s">
        <v>357</v>
      </c>
      <c r="G10" s="39" t="s">
        <v>358</v>
      </c>
    </row>
    <row r="11" spans="1:14">
      <c r="A11" s="40" t="s">
        <v>296</v>
      </c>
      <c r="B11" s="40" t="s">
        <v>312</v>
      </c>
      <c r="C11" s="40" t="s">
        <v>313</v>
      </c>
      <c r="D11" s="40">
        <v>0.5</v>
      </c>
      <c r="E11" s="40">
        <v>0.4</v>
      </c>
      <c r="F11" s="40" t="s">
        <v>359</v>
      </c>
      <c r="G11" s="40" t="s">
        <v>360</v>
      </c>
    </row>
    <row r="12" spans="1:14">
      <c r="A12" s="39" t="s">
        <v>295</v>
      </c>
      <c r="B12" s="39" t="s">
        <v>361</v>
      </c>
      <c r="C12" s="39" t="s">
        <v>310</v>
      </c>
      <c r="D12" s="39">
        <v>0.4</v>
      </c>
      <c r="E12" s="39">
        <v>0.2</v>
      </c>
      <c r="F12" s="39" t="s">
        <v>362</v>
      </c>
      <c r="G12" s="39" t="s">
        <v>363</v>
      </c>
    </row>
    <row r="13" spans="1:14">
      <c r="A13" s="40" t="s">
        <v>294</v>
      </c>
      <c r="B13" s="40" t="s">
        <v>364</v>
      </c>
      <c r="C13" s="40" t="s">
        <v>365</v>
      </c>
      <c r="D13" s="40">
        <v>0.7</v>
      </c>
      <c r="E13" s="40">
        <v>0.5</v>
      </c>
      <c r="F13" s="40" t="s">
        <v>366</v>
      </c>
      <c r="G13" s="40" t="s">
        <v>367</v>
      </c>
    </row>
    <row r="14" spans="1:14">
      <c r="A14" s="39" t="s">
        <v>296</v>
      </c>
      <c r="B14" s="39" t="s">
        <v>368</v>
      </c>
      <c r="C14" s="39" t="s">
        <v>369</v>
      </c>
      <c r="D14" s="39">
        <v>0.3</v>
      </c>
      <c r="E14" s="39">
        <v>0.2</v>
      </c>
      <c r="F14" s="39" t="s">
        <v>370</v>
      </c>
      <c r="G14" s="39" t="s">
        <v>371</v>
      </c>
    </row>
    <row r="17" spans="1:14">
      <c r="A17" s="55" t="s">
        <v>372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spans="1:14">
      <c r="A18" s="38" t="s">
        <v>373</v>
      </c>
      <c r="B18" s="38" t="s">
        <v>156</v>
      </c>
      <c r="C18" s="38" t="s">
        <v>374</v>
      </c>
      <c r="D18" s="38" t="s">
        <v>375</v>
      </c>
      <c r="E18" s="38" t="s">
        <v>376</v>
      </c>
    </row>
    <row r="19" spans="1:14">
      <c r="A19" s="40" t="s">
        <v>377</v>
      </c>
      <c r="B19" s="40" t="s">
        <v>378</v>
      </c>
      <c r="C19" s="40" t="s">
        <v>379</v>
      </c>
      <c r="D19" s="40" t="s">
        <v>380</v>
      </c>
      <c r="E19" s="40" t="s">
        <v>381</v>
      </c>
    </row>
    <row r="20" spans="1:14">
      <c r="A20" s="39" t="s">
        <v>382</v>
      </c>
      <c r="B20" s="39" t="s">
        <v>306</v>
      </c>
      <c r="C20" s="39" t="s">
        <v>383</v>
      </c>
      <c r="D20" s="39" t="s">
        <v>384</v>
      </c>
      <c r="E20" s="39" t="s">
        <v>381</v>
      </c>
    </row>
    <row r="21" spans="1:14">
      <c r="A21" s="40" t="s">
        <v>385</v>
      </c>
      <c r="B21" s="40" t="s">
        <v>312</v>
      </c>
      <c r="C21" s="40" t="s">
        <v>386</v>
      </c>
      <c r="D21" s="40" t="s">
        <v>387</v>
      </c>
      <c r="E21" s="40" t="s">
        <v>388</v>
      </c>
    </row>
    <row r="23" spans="1:14" ht="38.1" customHeight="1">
      <c r="A23" s="60" t="s">
        <v>389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</sheetData>
  <mergeCells count="4">
    <mergeCell ref="A17:N17"/>
    <mergeCell ref="A23:N23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390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391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392</v>
      </c>
      <c r="D4" s="42" t="s">
        <v>393</v>
      </c>
      <c r="G4" s="45" t="s">
        <v>394</v>
      </c>
      <c r="J4" s="44" t="s">
        <v>395</v>
      </c>
    </row>
    <row r="8" spans="1:14">
      <c r="A8" s="38" t="s">
        <v>168</v>
      </c>
      <c r="B8" s="38" t="s">
        <v>396</v>
      </c>
      <c r="C8" s="38" t="s">
        <v>268</v>
      </c>
      <c r="D8" s="38" t="s">
        <v>397</v>
      </c>
      <c r="E8" s="38" t="s">
        <v>398</v>
      </c>
      <c r="F8" s="38" t="s">
        <v>399</v>
      </c>
    </row>
    <row r="9" spans="1:14">
      <c r="A9" s="40" t="s">
        <v>307</v>
      </c>
      <c r="B9" s="40">
        <v>96</v>
      </c>
      <c r="C9" s="40">
        <v>4.8</v>
      </c>
      <c r="D9" s="47">
        <v>0.05</v>
      </c>
      <c r="E9" s="40">
        <v>1.1000000000000001</v>
      </c>
      <c r="F9" s="47">
        <v>1.2E-2</v>
      </c>
    </row>
    <row r="10" spans="1:14">
      <c r="A10" s="39" t="s">
        <v>313</v>
      </c>
      <c r="B10" s="39">
        <v>82</v>
      </c>
      <c r="C10" s="39">
        <v>4.0999999999999996</v>
      </c>
      <c r="D10" s="48">
        <v>0.05</v>
      </c>
      <c r="E10" s="39">
        <v>0.8</v>
      </c>
      <c r="F10" s="48">
        <v>-4.0000000000000001E-3</v>
      </c>
    </row>
    <row r="11" spans="1:14">
      <c r="A11" s="40" t="s">
        <v>304</v>
      </c>
      <c r="B11" s="40">
        <v>105</v>
      </c>
      <c r="C11" s="40">
        <v>3.2</v>
      </c>
      <c r="D11" s="47">
        <v>3.047619047619048E-2</v>
      </c>
      <c r="E11" s="40">
        <v>2.6</v>
      </c>
      <c r="F11" s="47">
        <v>3.7999999999999999E-2</v>
      </c>
    </row>
    <row r="12" spans="1:14">
      <c r="A12" s="39" t="s">
        <v>310</v>
      </c>
      <c r="B12" s="39">
        <v>71</v>
      </c>
      <c r="C12" s="39">
        <v>3.7</v>
      </c>
      <c r="D12" s="48">
        <v>5.2112676056338028E-2</v>
      </c>
      <c r="E12" s="39">
        <v>1.3</v>
      </c>
      <c r="F12" s="48">
        <v>6.9999999999999993E-3</v>
      </c>
    </row>
    <row r="13" spans="1:14">
      <c r="A13" s="40" t="s">
        <v>316</v>
      </c>
      <c r="B13" s="40">
        <v>64</v>
      </c>
      <c r="C13" s="40">
        <v>2.9</v>
      </c>
      <c r="D13" s="47">
        <v>4.5312499999999999E-2</v>
      </c>
      <c r="E13" s="40">
        <v>1.5</v>
      </c>
      <c r="F13" s="47">
        <v>2.1000000000000001E-2</v>
      </c>
    </row>
    <row r="17" spans="1:14">
      <c r="A17" s="38" t="s">
        <v>168</v>
      </c>
      <c r="B17" s="38" t="s">
        <v>400</v>
      </c>
      <c r="C17" s="38" t="s">
        <v>150</v>
      </c>
      <c r="D17" s="38" t="s">
        <v>401</v>
      </c>
      <c r="E17" s="38" t="s">
        <v>402</v>
      </c>
    </row>
    <row r="18" spans="1:14">
      <c r="A18" s="39" t="s">
        <v>304</v>
      </c>
      <c r="B18" s="39" t="s">
        <v>280</v>
      </c>
      <c r="C18" s="39" t="s">
        <v>294</v>
      </c>
      <c r="D18" s="39" t="s">
        <v>403</v>
      </c>
      <c r="E18" s="39" t="s">
        <v>404</v>
      </c>
    </row>
    <row r="19" spans="1:14">
      <c r="A19" s="40" t="s">
        <v>307</v>
      </c>
      <c r="B19" s="40" t="s">
        <v>405</v>
      </c>
      <c r="C19" s="40" t="s">
        <v>294</v>
      </c>
      <c r="D19" s="40" t="s">
        <v>306</v>
      </c>
      <c r="E19" s="40" t="s">
        <v>406</v>
      </c>
    </row>
    <row r="20" spans="1:14">
      <c r="A20" s="39" t="s">
        <v>316</v>
      </c>
      <c r="B20" s="39" t="s">
        <v>407</v>
      </c>
      <c r="C20" s="39" t="s">
        <v>297</v>
      </c>
      <c r="D20" s="39" t="s">
        <v>408</v>
      </c>
      <c r="E20" s="39" t="s">
        <v>409</v>
      </c>
    </row>
    <row r="23" spans="1:14" ht="38.1" customHeight="1">
      <c r="A23" s="61" t="s">
        <v>410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</sheetData>
  <mergeCells count="3">
    <mergeCell ref="A23:N23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3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4" width="13" customWidth="1"/>
  </cols>
  <sheetData>
    <row r="1" spans="1:14" ht="30" customHeight="1">
      <c r="A1" s="54" t="s">
        <v>411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53" t="s">
        <v>412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4" ht="51.95" customHeight="1">
      <c r="A4" s="41" t="s">
        <v>413</v>
      </c>
      <c r="D4" s="45" t="s">
        <v>414</v>
      </c>
      <c r="G4" s="46" t="s">
        <v>415</v>
      </c>
      <c r="J4" s="45" t="s">
        <v>416</v>
      </c>
      <c r="M4" s="44" t="s">
        <v>417</v>
      </c>
    </row>
    <row r="8" spans="1:14">
      <c r="A8" s="38" t="s">
        <v>266</v>
      </c>
      <c r="B8" s="38" t="s">
        <v>418</v>
      </c>
      <c r="C8" s="38" t="s">
        <v>419</v>
      </c>
    </row>
    <row r="9" spans="1:14">
      <c r="A9" s="40" t="s">
        <v>420</v>
      </c>
      <c r="B9" s="40">
        <v>100</v>
      </c>
      <c r="C9" s="40">
        <v>98</v>
      </c>
    </row>
    <row r="10" spans="1:14">
      <c r="A10" s="39" t="s">
        <v>421</v>
      </c>
      <c r="B10" s="39">
        <v>102</v>
      </c>
      <c r="C10" s="39">
        <v>98.8</v>
      </c>
    </row>
    <row r="11" spans="1:14">
      <c r="A11" s="40" t="s">
        <v>422</v>
      </c>
      <c r="B11" s="40">
        <v>104</v>
      </c>
      <c r="C11" s="40">
        <v>99.5</v>
      </c>
    </row>
    <row r="12" spans="1:14">
      <c r="A12" s="39" t="s">
        <v>423</v>
      </c>
      <c r="B12" s="39">
        <v>106</v>
      </c>
      <c r="C12" s="39">
        <v>100.2</v>
      </c>
    </row>
    <row r="13" spans="1:14">
      <c r="A13" s="40" t="s">
        <v>424</v>
      </c>
      <c r="B13" s="40">
        <v>107</v>
      </c>
      <c r="C13" s="40">
        <v>101</v>
      </c>
    </row>
    <row r="14" spans="1:14">
      <c r="A14" s="39" t="s">
        <v>425</v>
      </c>
      <c r="B14" s="39">
        <v>108</v>
      </c>
      <c r="C14" s="39">
        <v>101.8</v>
      </c>
    </row>
    <row r="17" spans="1:14">
      <c r="A17" s="38" t="s">
        <v>426</v>
      </c>
      <c r="B17" s="38" t="s">
        <v>427</v>
      </c>
      <c r="C17" s="38" t="s">
        <v>428</v>
      </c>
    </row>
    <row r="18" spans="1:14">
      <c r="A18" s="39" t="s">
        <v>429</v>
      </c>
      <c r="B18" s="39">
        <v>0.14000000000000001</v>
      </c>
      <c r="C18" s="39" t="s">
        <v>430</v>
      </c>
    </row>
    <row r="19" spans="1:14">
      <c r="A19" s="40" t="s">
        <v>431</v>
      </c>
      <c r="B19" s="40">
        <v>0.11</v>
      </c>
      <c r="C19" s="40" t="s">
        <v>432</v>
      </c>
    </row>
    <row r="20" spans="1:14">
      <c r="A20" s="39" t="s">
        <v>433</v>
      </c>
      <c r="B20" s="39">
        <v>0.08</v>
      </c>
      <c r="C20" s="39" t="s">
        <v>434</v>
      </c>
    </row>
    <row r="21" spans="1:14">
      <c r="A21" s="40" t="s">
        <v>435</v>
      </c>
      <c r="B21" s="40">
        <v>0.04</v>
      </c>
      <c r="C21" s="40" t="s">
        <v>436</v>
      </c>
    </row>
    <row r="22" spans="1:14">
      <c r="A22" s="39" t="s">
        <v>437</v>
      </c>
      <c r="B22" s="39">
        <v>-0.05</v>
      </c>
      <c r="C22" s="39" t="s">
        <v>438</v>
      </c>
    </row>
    <row r="23" spans="1:14">
      <c r="A23" s="40" t="s">
        <v>439</v>
      </c>
      <c r="B23" s="40">
        <v>0.06</v>
      </c>
      <c r="C23" s="40" t="s">
        <v>440</v>
      </c>
    </row>
    <row r="25" spans="1:14">
      <c r="A25" s="55" t="s">
        <v>441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38" t="s">
        <v>442</v>
      </c>
      <c r="B26" s="38" t="s">
        <v>443</v>
      </c>
      <c r="C26" s="38" t="s">
        <v>431</v>
      </c>
      <c r="D26" s="38" t="s">
        <v>444</v>
      </c>
      <c r="E26" s="38" t="s">
        <v>445</v>
      </c>
      <c r="F26" s="38" t="s">
        <v>446</v>
      </c>
    </row>
    <row r="27" spans="1:14">
      <c r="A27" s="40" t="s">
        <v>447</v>
      </c>
      <c r="B27" s="40" t="s">
        <v>448</v>
      </c>
      <c r="C27" s="40" t="s">
        <v>449</v>
      </c>
      <c r="D27" s="40">
        <v>14.48</v>
      </c>
      <c r="E27" s="40">
        <v>-0.18</v>
      </c>
      <c r="F27" s="40">
        <v>-18</v>
      </c>
    </row>
    <row r="28" spans="1:14">
      <c r="A28" s="39" t="s">
        <v>450</v>
      </c>
      <c r="B28" s="39" t="s">
        <v>451</v>
      </c>
      <c r="C28" s="39" t="s">
        <v>452</v>
      </c>
      <c r="D28" s="39">
        <v>15.04</v>
      </c>
      <c r="E28" s="39">
        <v>0.38</v>
      </c>
      <c r="F28" s="39">
        <v>38</v>
      </c>
    </row>
    <row r="29" spans="1:14">
      <c r="A29" s="40" t="s">
        <v>453</v>
      </c>
      <c r="B29" s="40" t="s">
        <v>454</v>
      </c>
      <c r="C29" s="40" t="s">
        <v>455</v>
      </c>
      <c r="D29" s="40">
        <v>15.29</v>
      </c>
      <c r="E29" s="40">
        <v>0.63</v>
      </c>
      <c r="F29" s="40">
        <v>63</v>
      </c>
    </row>
    <row r="31" spans="1:14" ht="38.1" customHeight="1">
      <c r="A31" s="61" t="s">
        <v>456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</sheetData>
  <mergeCells count="4">
    <mergeCell ref="A25:N25"/>
    <mergeCell ref="A31:N31"/>
    <mergeCell ref="A2:N2"/>
    <mergeCell ref="A1:N1"/>
  </mergeCells>
  <pageMargins left="0.75" right="0.75" top="1" bottom="1" header="0.5" footer="0.5"/>
  <pageSetup orientation="landscape"/>
  <headerFooter>
    <oddFooter>&amp;CIllustrative synthetic data | Not actual Škoda business data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31"/>
  <sheetViews>
    <sheetView zoomScaleNormal="100" zoomScaleSheetLayoutView="100" workbookViewId="0"/>
  </sheetViews>
  <sheetFormatPr defaultRowHeight="15"/>
  <cols>
    <col min="1" max="1" width="54.7109375" bestFit="1" customWidth="1"/>
    <col min="2" max="2" width="13.85546875" bestFit="1" customWidth="1"/>
    <col min="3" max="3" width="26.140625" bestFit="1" customWidth="1"/>
    <col min="4" max="4" width="27.28515625" bestFit="1" customWidth="1"/>
    <col min="5" max="5" width="53" bestFit="1" customWidth="1"/>
    <col min="6" max="6" width="45.7109375" bestFit="1" customWidth="1"/>
    <col min="7" max="7" width="14.85546875" bestFit="1" customWidth="1"/>
  </cols>
  <sheetData>
    <row r="1" spans="1:6" ht="39.75" customHeight="1">
      <c r="A1" s="56" t="s">
        <v>457</v>
      </c>
      <c r="B1" s="59"/>
      <c r="C1" s="59"/>
      <c r="D1" s="59"/>
      <c r="E1" s="59"/>
      <c r="F1" s="59"/>
    </row>
    <row r="3" spans="1:6" ht="18.75" customHeight="1">
      <c r="A3" s="62" t="s">
        <v>458</v>
      </c>
      <c r="B3" s="59"/>
      <c r="C3" s="59"/>
      <c r="D3" s="59"/>
      <c r="E3" s="59"/>
      <c r="F3" s="59"/>
    </row>
    <row r="5" spans="1:6">
      <c r="A5" s="1" t="s">
        <v>2</v>
      </c>
      <c r="B5" s="1" t="s">
        <v>3</v>
      </c>
      <c r="C5" s="1" t="s">
        <v>459</v>
      </c>
      <c r="D5" s="1" t="s">
        <v>460</v>
      </c>
      <c r="E5" s="1" t="s">
        <v>461</v>
      </c>
      <c r="F5" s="1" t="s">
        <v>462</v>
      </c>
    </row>
    <row r="6" spans="1:6" ht="45" customHeight="1">
      <c r="A6" s="3" t="s">
        <v>463</v>
      </c>
      <c r="B6" s="2" t="s">
        <v>44</v>
      </c>
      <c r="C6" s="2" t="s">
        <v>464</v>
      </c>
      <c r="D6" s="2" t="s">
        <v>465</v>
      </c>
      <c r="E6" s="2" t="s">
        <v>466</v>
      </c>
      <c r="F6" s="2" t="s">
        <v>467</v>
      </c>
    </row>
    <row r="7" spans="1:6" ht="80.25" customHeight="1">
      <c r="A7" s="4" t="s">
        <v>468</v>
      </c>
      <c r="B7" s="8" t="s">
        <v>469</v>
      </c>
      <c r="C7" s="2" t="s">
        <v>470</v>
      </c>
      <c r="D7" s="2" t="s">
        <v>471</v>
      </c>
      <c r="E7" s="2" t="s">
        <v>472</v>
      </c>
      <c r="F7" s="2" t="s">
        <v>473</v>
      </c>
    </row>
    <row r="8" spans="1:6" ht="69.75" customHeight="1">
      <c r="A8" s="4" t="s">
        <v>474</v>
      </c>
      <c r="B8" s="2" t="s">
        <v>475</v>
      </c>
      <c r="C8" s="2" t="s">
        <v>476</v>
      </c>
      <c r="D8" s="2" t="s">
        <v>477</v>
      </c>
      <c r="E8" s="2" t="s">
        <v>478</v>
      </c>
      <c r="F8" s="2" t="s">
        <v>479</v>
      </c>
    </row>
    <row r="9" spans="1:6" ht="69.75" customHeight="1">
      <c r="A9" s="5" t="s">
        <v>480</v>
      </c>
      <c r="B9" s="2" t="s">
        <v>17</v>
      </c>
      <c r="C9" s="2" t="s">
        <v>481</v>
      </c>
      <c r="D9" s="2" t="s">
        <v>482</v>
      </c>
      <c r="E9" s="2" t="s">
        <v>483</v>
      </c>
      <c r="F9" s="2" t="s">
        <v>484</v>
      </c>
    </row>
    <row r="10" spans="1:6" ht="69.75" customHeight="1">
      <c r="A10" s="6" t="s">
        <v>485</v>
      </c>
      <c r="B10" s="2" t="s">
        <v>17</v>
      </c>
      <c r="C10" s="2" t="s">
        <v>486</v>
      </c>
      <c r="D10" s="2" t="s">
        <v>487</v>
      </c>
      <c r="E10" s="2" t="s">
        <v>488</v>
      </c>
      <c r="F10" s="2" t="s">
        <v>489</v>
      </c>
    </row>
    <row r="11" spans="1:6" ht="50.25" customHeight="1">
      <c r="A11" s="7" t="s">
        <v>490</v>
      </c>
      <c r="B11" s="2" t="s">
        <v>44</v>
      </c>
      <c r="C11" s="2" t="s">
        <v>491</v>
      </c>
      <c r="D11" s="2" t="s">
        <v>492</v>
      </c>
      <c r="E11" s="2" t="s">
        <v>493</v>
      </c>
      <c r="F11" s="2" t="s">
        <v>494</v>
      </c>
    </row>
    <row r="12" spans="1:6" ht="45" customHeight="1">
      <c r="A12" s="3" t="s">
        <v>495</v>
      </c>
      <c r="B12" s="2" t="s">
        <v>10</v>
      </c>
      <c r="C12" s="2" t="s">
        <v>496</v>
      </c>
      <c r="D12" s="2" t="s">
        <v>497</v>
      </c>
      <c r="E12" s="2" t="s">
        <v>498</v>
      </c>
      <c r="F12" s="2" t="s">
        <v>499</v>
      </c>
    </row>
    <row r="14" spans="1:6" ht="18.75" customHeight="1">
      <c r="A14" s="10" t="s">
        <v>500</v>
      </c>
      <c r="E14" s="9" t="s">
        <v>501</v>
      </c>
    </row>
    <row r="15" spans="1:6" ht="30.75" customHeight="1">
      <c r="A15" s="11" t="s">
        <v>502</v>
      </c>
      <c r="B15" s="13" t="s">
        <v>174</v>
      </c>
      <c r="C15" s="13" t="s">
        <v>503</v>
      </c>
      <c r="E15" s="18" t="s">
        <v>504</v>
      </c>
      <c r="F15" s="18" t="s">
        <v>505</v>
      </c>
    </row>
    <row r="16" spans="1:6" ht="32.25" customHeight="1">
      <c r="A16" t="s">
        <v>506</v>
      </c>
      <c r="B16" s="14" t="s">
        <v>507</v>
      </c>
      <c r="C16" s="15">
        <v>0.45</v>
      </c>
      <c r="E16" s="19" t="s">
        <v>508</v>
      </c>
      <c r="F16" s="20" t="s">
        <v>509</v>
      </c>
    </row>
    <row r="17" spans="1:7" ht="32.25" customHeight="1">
      <c r="A17" t="s">
        <v>510</v>
      </c>
      <c r="B17" s="14" t="s">
        <v>469</v>
      </c>
      <c r="C17" s="15">
        <v>0.25</v>
      </c>
      <c r="E17" s="19" t="s">
        <v>511</v>
      </c>
      <c r="F17" s="20" t="s">
        <v>512</v>
      </c>
    </row>
    <row r="18" spans="1:7" ht="32.25" customHeight="1">
      <c r="A18" t="s">
        <v>513</v>
      </c>
      <c r="B18" s="14" t="s">
        <v>17</v>
      </c>
      <c r="C18" s="15">
        <v>0.18</v>
      </c>
      <c r="E18" s="19" t="s">
        <v>514</v>
      </c>
      <c r="F18" s="20" t="s">
        <v>515</v>
      </c>
    </row>
    <row r="19" spans="1:7" ht="32.25" customHeight="1">
      <c r="A19" t="s">
        <v>516</v>
      </c>
      <c r="B19" s="14" t="s">
        <v>51</v>
      </c>
      <c r="C19" s="15">
        <v>0.12</v>
      </c>
      <c r="E19" s="19" t="s">
        <v>517</v>
      </c>
      <c r="F19" s="20" t="s">
        <v>518</v>
      </c>
    </row>
    <row r="20" spans="1:7" ht="32.25" customHeight="1">
      <c r="A20" s="12" t="s">
        <v>519</v>
      </c>
      <c r="B20" s="16" t="s">
        <v>520</v>
      </c>
      <c r="C20" s="17">
        <v>1</v>
      </c>
      <c r="E20" s="19" t="s">
        <v>521</v>
      </c>
      <c r="F20" s="20" t="s">
        <v>522</v>
      </c>
    </row>
    <row r="21" spans="1:7" ht="32.25" customHeight="1">
      <c r="E21" s="19" t="s">
        <v>523</v>
      </c>
      <c r="F21" s="20" t="s">
        <v>524</v>
      </c>
    </row>
    <row r="23" spans="1:7" ht="18.75" customHeight="1">
      <c r="A23" s="21" t="s">
        <v>525</v>
      </c>
      <c r="E23" s="24" t="s">
        <v>526</v>
      </c>
    </row>
    <row r="24" spans="1:7" ht="35.25" customHeight="1">
      <c r="A24" s="22" t="s">
        <v>527</v>
      </c>
      <c r="B24" s="22" t="s">
        <v>528</v>
      </c>
      <c r="C24" s="22" t="s">
        <v>529</v>
      </c>
      <c r="E24" s="26" t="s">
        <v>79</v>
      </c>
      <c r="F24" s="25" t="s">
        <v>530</v>
      </c>
      <c r="G24" s="25" t="s">
        <v>531</v>
      </c>
    </row>
    <row r="25" spans="1:7" ht="35.25" customHeight="1">
      <c r="A25" s="23" t="s">
        <v>532</v>
      </c>
      <c r="B25" s="23" t="s">
        <v>533</v>
      </c>
      <c r="C25" s="23" t="s">
        <v>534</v>
      </c>
      <c r="E25" s="27">
        <v>1</v>
      </c>
      <c r="F25" s="23" t="s">
        <v>535</v>
      </c>
      <c r="G25" s="23" t="s">
        <v>536</v>
      </c>
    </row>
    <row r="26" spans="1:7" ht="35.25" customHeight="1">
      <c r="A26" s="23" t="s">
        <v>537</v>
      </c>
      <c r="B26" s="23" t="s">
        <v>538</v>
      </c>
      <c r="C26" s="23" t="s">
        <v>539</v>
      </c>
      <c r="E26" s="27">
        <v>2</v>
      </c>
      <c r="F26" s="23" t="s">
        <v>540</v>
      </c>
      <c r="G26" s="23" t="s">
        <v>541</v>
      </c>
    </row>
    <row r="27" spans="1:7" ht="35.25" customHeight="1">
      <c r="A27" s="23" t="s">
        <v>542</v>
      </c>
      <c r="B27" s="23" t="s">
        <v>543</v>
      </c>
      <c r="C27" s="23" t="s">
        <v>544</v>
      </c>
      <c r="E27" s="27">
        <v>3</v>
      </c>
      <c r="F27" s="23" t="s">
        <v>545</v>
      </c>
      <c r="G27" s="23" t="s">
        <v>546</v>
      </c>
    </row>
    <row r="28" spans="1:7" ht="35.25" customHeight="1">
      <c r="A28" s="23" t="s">
        <v>547</v>
      </c>
      <c r="B28" s="23" t="s">
        <v>548</v>
      </c>
      <c r="C28" s="23" t="s">
        <v>549</v>
      </c>
      <c r="E28" s="27">
        <v>4</v>
      </c>
      <c r="F28" s="23" t="s">
        <v>550</v>
      </c>
      <c r="G28" s="23" t="s">
        <v>551</v>
      </c>
    </row>
    <row r="29" spans="1:7" ht="35.25" customHeight="1">
      <c r="A29" s="23" t="s">
        <v>552</v>
      </c>
      <c r="B29" s="23" t="s">
        <v>553</v>
      </c>
      <c r="C29" s="23" t="s">
        <v>554</v>
      </c>
      <c r="E29" s="28">
        <v>5</v>
      </c>
      <c r="F29" s="29" t="s">
        <v>555</v>
      </c>
      <c r="G29" s="29" t="s">
        <v>556</v>
      </c>
    </row>
    <row r="30" spans="1:7" ht="35.25" customHeight="1">
      <c r="A30" s="23" t="s">
        <v>557</v>
      </c>
      <c r="B30" s="23" t="s">
        <v>558</v>
      </c>
      <c r="C30" s="23" t="s">
        <v>559</v>
      </c>
    </row>
    <row r="31" spans="1:7" ht="35.25" customHeight="1">
      <c r="A31" s="23" t="s">
        <v>560</v>
      </c>
      <c r="B31" s="23" t="s">
        <v>561</v>
      </c>
      <c r="C31" s="23" t="s">
        <v>562</v>
      </c>
    </row>
  </sheetData>
  <mergeCells count="2">
    <mergeCell ref="A3:F3"/>
    <mergeCell ref="A1:F1"/>
  </mergeCells>
  <pageMargins left="0.7" right="0.7" top="0.75" bottom="0.75" header="0.3" footer="0.3"/>
  <pageSetup orientation="landscape" horizontalDpi="4294967295" verticalDpi="4294967295"/>
  <headerFooter>
    <oddFooter>&amp;CSKODA Digital Procurement POC | Internal working recommendation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18"/>
  <sheetViews>
    <sheetView workbookViewId="0"/>
  </sheetViews>
  <sheetFormatPr defaultRowHeight="15"/>
  <cols>
    <col min="1" max="1" width="9.140625" bestFit="1" customWidth="1"/>
    <col min="2" max="2" width="19.42578125" bestFit="1" customWidth="1"/>
    <col min="3" max="3" width="42.140625" bestFit="1" customWidth="1"/>
    <col min="4" max="4" width="76.140625" customWidth="1"/>
  </cols>
  <sheetData>
    <row r="1" spans="1:4" ht="35.25" customHeight="1">
      <c r="A1" s="57" t="s">
        <v>563</v>
      </c>
      <c r="B1" s="59"/>
      <c r="C1" s="59"/>
      <c r="D1" s="59"/>
    </row>
    <row r="3" spans="1:4">
      <c r="A3" s="1" t="s">
        <v>174</v>
      </c>
      <c r="B3" s="1" t="s">
        <v>2</v>
      </c>
      <c r="C3" s="1" t="s">
        <v>4</v>
      </c>
      <c r="D3" s="1" t="s">
        <v>564</v>
      </c>
    </row>
    <row r="4" spans="1:4" ht="54.75" customHeight="1">
      <c r="A4" s="3" t="s">
        <v>565</v>
      </c>
      <c r="B4" s="2" t="s">
        <v>566</v>
      </c>
      <c r="C4" s="2" t="s">
        <v>567</v>
      </c>
      <c r="D4" s="2" t="s">
        <v>568</v>
      </c>
    </row>
    <row r="5" spans="1:4" ht="54.75" customHeight="1">
      <c r="A5" s="3" t="s">
        <v>569</v>
      </c>
      <c r="B5" s="2" t="s">
        <v>464</v>
      </c>
      <c r="C5" s="2" t="s">
        <v>570</v>
      </c>
      <c r="D5" s="2" t="s">
        <v>571</v>
      </c>
    </row>
    <row r="6" spans="1:4" ht="54.75" customHeight="1">
      <c r="A6" s="4" t="s">
        <v>572</v>
      </c>
      <c r="B6" s="2" t="s">
        <v>573</v>
      </c>
      <c r="C6" s="2" t="s">
        <v>574</v>
      </c>
      <c r="D6" s="2" t="s">
        <v>575</v>
      </c>
    </row>
    <row r="7" spans="1:4" ht="54.75" customHeight="1">
      <c r="A7" s="4" t="s">
        <v>576</v>
      </c>
      <c r="B7" s="2" t="s">
        <v>577</v>
      </c>
      <c r="C7" s="2" t="s">
        <v>578</v>
      </c>
      <c r="D7" s="2" t="s">
        <v>579</v>
      </c>
    </row>
    <row r="8" spans="1:4" ht="54.75" customHeight="1">
      <c r="A8" s="4" t="s">
        <v>580</v>
      </c>
      <c r="B8" s="2" t="s">
        <v>581</v>
      </c>
      <c r="C8" s="2" t="s">
        <v>582</v>
      </c>
      <c r="D8" s="2" t="s">
        <v>583</v>
      </c>
    </row>
    <row r="9" spans="1:4" ht="54.75" customHeight="1">
      <c r="A9" s="5" t="s">
        <v>584</v>
      </c>
      <c r="B9" s="2" t="s">
        <v>585</v>
      </c>
      <c r="C9" s="2" t="s">
        <v>586</v>
      </c>
      <c r="D9" s="2" t="s">
        <v>587</v>
      </c>
    </row>
    <row r="10" spans="1:4" ht="54.75" customHeight="1">
      <c r="A10" s="5" t="s">
        <v>588</v>
      </c>
      <c r="B10" s="2" t="s">
        <v>589</v>
      </c>
      <c r="C10" s="2" t="s">
        <v>590</v>
      </c>
      <c r="D10" s="2" t="s">
        <v>591</v>
      </c>
    </row>
    <row r="11" spans="1:4" ht="54.75" customHeight="1">
      <c r="A11" s="5" t="s">
        <v>592</v>
      </c>
      <c r="B11" s="2" t="s">
        <v>593</v>
      </c>
      <c r="C11" s="2" t="s">
        <v>594</v>
      </c>
      <c r="D11" s="2" t="s">
        <v>595</v>
      </c>
    </row>
    <row r="12" spans="1:4" ht="54.75" customHeight="1">
      <c r="A12" s="7" t="s">
        <v>596</v>
      </c>
      <c r="B12" s="2" t="s">
        <v>597</v>
      </c>
      <c r="C12" s="2" t="s">
        <v>598</v>
      </c>
      <c r="D12" s="2" t="s">
        <v>599</v>
      </c>
    </row>
    <row r="13" spans="1:4" ht="54.75" customHeight="1">
      <c r="A13" s="7" t="s">
        <v>600</v>
      </c>
      <c r="B13" s="2" t="s">
        <v>601</v>
      </c>
      <c r="C13" s="2" t="s">
        <v>602</v>
      </c>
      <c r="D13" s="2" t="s">
        <v>603</v>
      </c>
    </row>
    <row r="14" spans="1:4" ht="54.75" customHeight="1">
      <c r="A14" s="6" t="s">
        <v>604</v>
      </c>
      <c r="B14" s="2" t="s">
        <v>605</v>
      </c>
      <c r="C14" s="2" t="s">
        <v>606</v>
      </c>
      <c r="D14" s="2" t="s">
        <v>607</v>
      </c>
    </row>
    <row r="15" spans="1:4" ht="54.75" customHeight="1">
      <c r="A15" s="6" t="s">
        <v>608</v>
      </c>
      <c r="B15" s="2" t="s">
        <v>609</v>
      </c>
      <c r="C15" s="2" t="s">
        <v>610</v>
      </c>
      <c r="D15" s="2" t="s">
        <v>611</v>
      </c>
    </row>
    <row r="16" spans="1:4" ht="54.75" customHeight="1">
      <c r="A16" s="6" t="s">
        <v>612</v>
      </c>
      <c r="B16" s="2" t="s">
        <v>613</v>
      </c>
      <c r="C16" s="2" t="s">
        <v>614</v>
      </c>
      <c r="D16" s="2" t="s">
        <v>615</v>
      </c>
    </row>
    <row r="17" spans="1:4" ht="54.75" customHeight="1">
      <c r="A17" s="32" t="s">
        <v>226</v>
      </c>
      <c r="B17" s="2" t="s">
        <v>616</v>
      </c>
      <c r="C17" s="2" t="s">
        <v>617</v>
      </c>
      <c r="D17" s="2" t="s">
        <v>618</v>
      </c>
    </row>
    <row r="18" spans="1:4" ht="54.75" customHeight="1">
      <c r="A18" s="3" t="s">
        <v>231</v>
      </c>
      <c r="B18" s="2" t="s">
        <v>619</v>
      </c>
      <c r="C18" s="2" t="s">
        <v>620</v>
      </c>
      <c r="D18" s="2" t="s">
        <v>621</v>
      </c>
    </row>
  </sheetData>
  <mergeCells count="1">
    <mergeCell ref="A1:D1"/>
  </mergeCells>
  <pageMargins left="0.7" right="0.7" top="0.75" bottom="0.75" header="0.3" footer="0.3"/>
  <pageSetup orientation="landscape"/>
  <headerFooter>
    <oddFooter>&amp;CSKODA Digital Procurement POC | Internal working recommendation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8"/>
  <sheetViews>
    <sheetView workbookViewId="0"/>
  </sheetViews>
  <sheetFormatPr defaultRowHeight="15"/>
  <cols>
    <col min="1" max="1" width="21.140625" bestFit="1" customWidth="1"/>
    <col min="2" max="2" width="11.42578125" bestFit="1" customWidth="1"/>
    <col min="3" max="3" width="33.5703125" bestFit="1" customWidth="1"/>
    <col min="4" max="4" width="26.5703125" bestFit="1" customWidth="1"/>
    <col min="5" max="5" width="64.42578125" bestFit="1" customWidth="1"/>
  </cols>
  <sheetData>
    <row r="1" spans="1:5" ht="35.25" customHeight="1">
      <c r="A1" s="58" t="s">
        <v>622</v>
      </c>
      <c r="B1" s="59"/>
      <c r="C1" s="59"/>
      <c r="D1" s="59"/>
      <c r="E1" s="59"/>
    </row>
    <row r="3" spans="1:5">
      <c r="A3" s="12" t="s">
        <v>623</v>
      </c>
      <c r="B3" s="12" t="s">
        <v>624</v>
      </c>
      <c r="C3" s="12" t="s">
        <v>625</v>
      </c>
      <c r="D3" s="12" t="s">
        <v>626</v>
      </c>
      <c r="E3" s="12" t="s">
        <v>627</v>
      </c>
    </row>
    <row r="4" spans="1:5" ht="45" customHeight="1">
      <c r="A4" s="4" t="s">
        <v>628</v>
      </c>
      <c r="B4" s="2" t="s">
        <v>31</v>
      </c>
      <c r="C4" s="2" t="s">
        <v>629</v>
      </c>
      <c r="D4" s="2" t="s">
        <v>630</v>
      </c>
      <c r="E4" s="2" t="s">
        <v>631</v>
      </c>
    </row>
    <row r="5" spans="1:5" ht="45" customHeight="1">
      <c r="A5" s="4" t="s">
        <v>632</v>
      </c>
      <c r="B5" s="2" t="s">
        <v>44</v>
      </c>
      <c r="C5" s="2" t="s">
        <v>629</v>
      </c>
      <c r="D5" s="2" t="s">
        <v>633</v>
      </c>
      <c r="E5" s="2" t="s">
        <v>634</v>
      </c>
    </row>
    <row r="6" spans="1:5" ht="45" customHeight="1">
      <c r="A6" s="4" t="s">
        <v>635</v>
      </c>
      <c r="B6" s="2" t="s">
        <v>44</v>
      </c>
      <c r="C6" s="2" t="s">
        <v>636</v>
      </c>
      <c r="D6" s="2" t="s">
        <v>637</v>
      </c>
      <c r="E6" s="2" t="s">
        <v>638</v>
      </c>
    </row>
    <row r="7" spans="1:5" ht="45" customHeight="1">
      <c r="A7" s="5" t="s">
        <v>639</v>
      </c>
      <c r="B7" s="2" t="s">
        <v>44</v>
      </c>
      <c r="C7" s="2" t="s">
        <v>640</v>
      </c>
      <c r="D7" s="2" t="s">
        <v>641</v>
      </c>
      <c r="E7" s="2" t="s">
        <v>642</v>
      </c>
    </row>
    <row r="8" spans="1:5" ht="45" customHeight="1">
      <c r="A8" s="5" t="s">
        <v>643</v>
      </c>
      <c r="B8" s="2" t="s">
        <v>44</v>
      </c>
      <c r="C8" s="2" t="s">
        <v>640</v>
      </c>
      <c r="D8" s="2" t="s">
        <v>644</v>
      </c>
      <c r="E8" s="2" t="s">
        <v>645</v>
      </c>
    </row>
    <row r="9" spans="1:5" ht="45" customHeight="1">
      <c r="A9" s="5" t="s">
        <v>646</v>
      </c>
      <c r="B9" s="2" t="s">
        <v>10</v>
      </c>
      <c r="C9" s="2" t="s">
        <v>640</v>
      </c>
      <c r="D9" s="2" t="s">
        <v>647</v>
      </c>
      <c r="E9" s="2" t="s">
        <v>648</v>
      </c>
    </row>
    <row r="10" spans="1:5" ht="45" customHeight="1">
      <c r="A10" s="7" t="s">
        <v>597</v>
      </c>
      <c r="B10" s="2" t="s">
        <v>31</v>
      </c>
      <c r="C10" s="2" t="s">
        <v>649</v>
      </c>
      <c r="D10" s="2" t="s">
        <v>650</v>
      </c>
      <c r="E10" s="2" t="s">
        <v>651</v>
      </c>
    </row>
    <row r="11" spans="1:5" ht="45" customHeight="1">
      <c r="A11" s="7" t="s">
        <v>601</v>
      </c>
      <c r="B11" s="2" t="s">
        <v>44</v>
      </c>
      <c r="C11" s="2" t="s">
        <v>652</v>
      </c>
      <c r="D11" s="2" t="s">
        <v>597</v>
      </c>
      <c r="E11" s="2" t="s">
        <v>653</v>
      </c>
    </row>
    <row r="12" spans="1:5" ht="45" customHeight="1">
      <c r="A12" s="6" t="s">
        <v>654</v>
      </c>
      <c r="B12" s="2" t="s">
        <v>10</v>
      </c>
      <c r="C12" s="2" t="s">
        <v>655</v>
      </c>
      <c r="D12" s="2" t="s">
        <v>656</v>
      </c>
      <c r="E12" s="2" t="s">
        <v>657</v>
      </c>
    </row>
    <row r="13" spans="1:5" ht="45" customHeight="1">
      <c r="A13" s="6" t="s">
        <v>658</v>
      </c>
      <c r="B13" s="2" t="s">
        <v>44</v>
      </c>
      <c r="C13" s="2" t="s">
        <v>659</v>
      </c>
      <c r="D13" s="2" t="s">
        <v>660</v>
      </c>
      <c r="E13" s="2" t="s">
        <v>661</v>
      </c>
    </row>
    <row r="14" spans="1:5" ht="45" customHeight="1">
      <c r="A14" s="6" t="s">
        <v>662</v>
      </c>
      <c r="B14" s="2" t="s">
        <v>10</v>
      </c>
      <c r="C14" s="2" t="s">
        <v>663</v>
      </c>
      <c r="D14" s="2" t="s">
        <v>664</v>
      </c>
      <c r="E14" s="2" t="s">
        <v>665</v>
      </c>
    </row>
    <row r="15" spans="1:5" ht="45" customHeight="1">
      <c r="A15" s="3" t="s">
        <v>666</v>
      </c>
      <c r="B15" s="2" t="s">
        <v>10</v>
      </c>
      <c r="C15" s="2" t="s">
        <v>652</v>
      </c>
      <c r="D15" s="2" t="s">
        <v>667</v>
      </c>
      <c r="E15" s="2" t="s">
        <v>668</v>
      </c>
    </row>
    <row r="16" spans="1:5" ht="45" customHeight="1">
      <c r="A16" s="3" t="s">
        <v>669</v>
      </c>
      <c r="B16" s="2" t="s">
        <v>670</v>
      </c>
      <c r="C16" s="2" t="s">
        <v>652</v>
      </c>
      <c r="D16" s="2" t="s">
        <v>671</v>
      </c>
      <c r="E16" s="2" t="s">
        <v>672</v>
      </c>
    </row>
    <row r="18" spans="1:3" ht="18.75" customHeight="1">
      <c r="A18" s="12" t="s">
        <v>673</v>
      </c>
      <c r="B18" s="31" t="s">
        <v>674</v>
      </c>
      <c r="C18" s="30" t="s">
        <v>675</v>
      </c>
    </row>
  </sheetData>
  <mergeCells count="1">
    <mergeCell ref="A1:E1"/>
  </mergeCells>
  <pageMargins left="0.7" right="0.7" top="0.75" bottom="0.75" header="0.3" footer="0.3"/>
  <pageSetup orientation="landscape"/>
  <headerFooter>
    <oddFooter>&amp;CSKODA Digital Procurement POC | Internal working recommendation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Parkar</dc:creator>
  <cp:keywords/>
  <dc:description/>
  <cp:lastModifiedBy/>
  <cp:revision/>
  <dcterms:created xsi:type="dcterms:W3CDTF">2026-10-14T04:47:25Z</dcterms:created>
  <dcterms:modified xsi:type="dcterms:W3CDTF">2026-10-14T05:20:09Z</dcterms:modified>
  <cp:category/>
  <cp:contentStatus/>
</cp:coreProperties>
</file>